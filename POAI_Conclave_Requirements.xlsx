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Spaces" sheetId="2" state="visible" r:id="rId4"/>
    <sheet name="Requirements" sheetId="3" state="visible" r:id="rId5"/>
    <sheet name="Totals" sheetId="4" state="visible" r:id="rId6"/>
    <sheet name="Open questions" sheetId="5" state="visible" r:id="rId7"/>
  </sheets>
  <definedNames>
    <definedName function="false" hidden="true" localSheetId="2" name="_xlnm._FilterDatabase" vbProcedure="false">Requirements!$A$4:$M$56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<sst xmlns="http://schemas.openxmlformats.org/spreadsheetml/2006/main" count="644" uniqueCount="305">
  <si>
    <t xml:space="preserve">POAI at the Goa AI Tech Conclave 2026: venue and technical requirements</t>
  </si>
  <si>
    <t xml:space="preserve">22–23 October 2026 · Prepared by POAI for the event management team · POAI contact: Karn Malhotra, +91 98455 22281</t>
  </si>
  <si>
    <t xml:space="preserve">How to read this file: Overview = what each initiative is · Spaces = the stalls and rooms needed · Requirements = every item, with quantity and who provides it · Totals = counts by item type · Open questions = what still needs confirming.</t>
  </si>
  <si>
    <t xml:space="preserve">Yellow cells are POAI's estimates or still to be confirmed. Event team: please use the 'Event team response' column on the Requirements sheet.</t>
  </si>
  <si>
    <t xml:space="preserve">#</t>
  </si>
  <si>
    <t xml:space="preserve">Initiative</t>
  </si>
  <si>
    <t xml:space="preserve">Partner / owner</t>
  </si>
  <si>
    <t xml:space="preserve">What it is</t>
  </si>
  <si>
    <t xml:space="preserve">Purpose</t>
  </si>
  <si>
    <t xml:space="preserve">Where at the venue</t>
  </si>
  <si>
    <t xml:space="preserve">When</t>
  </si>
  <si>
    <t xml:space="preserve">Key needs (detail on Requirements sheet)</t>
  </si>
  <si>
    <t xml:space="preserve">Goa 2037 AI Challenge (inclusivity focus)</t>
  </si>
  <si>
    <t xml:space="preserve">Curiouswala Studio (Hasan Shahrukh) with Aniket; POAI as community partner</t>
  </si>
  <si>
    <t xml:space="preserve">A two-day AI challenge for college students across Goa, centred on inclusivity. Teams use AI to tell untold Goan stories, perform Goan art forms, or remove a real barrier for people left out (language, disability, place and cost).</t>
  </si>
  <si>
    <t xml:space="preserve">Build student confidence with AI and surface practical, inclusive ideas rooted in Goa. Aligns with the AI Policy's student-led innovation pillar.</t>
  </si>
  <si>
    <t xml:space="preserve">Build area (both days) + showcase area (23 Oct evening)</t>
  </si>
  <si>
    <t xml:space="preserve">Kickoff 22 Oct · building 22–23 Oct · presentations and judging 23 Oct evening</t>
  </si>
  <si>
    <t xml:space="preserve">Team tables and chairs, power at every table, strong Wi-Fi, a screen for the kickoff, and a showcase space with screen, PA and mics</t>
  </si>
  <si>
    <t xml:space="preserve">Generation ReMix: mentoring, both ways</t>
  </si>
  <si>
    <t xml:space="preserve">The Silver Surfers Club (Dipti Varma Narain) × POAI (Karn Malhotra)</t>
  </si>
  <si>
    <t xml:space="preserve">An intergenerational mentoring pilot. Experienced professionals mentor students and young adults (18+) on study and career choices; the young people teach them AI and digital tools in return.</t>
  </si>
  <si>
    <t xml:space="preserve">Connect two generations around AI and work, and pilot a mentorship platform that continues after the Conclave.</t>
  </si>
  <si>
    <t xml:space="preserve">Stall B (6x3) shared with POAI + a quiet space for conversations</t>
  </si>
  <si>
    <t xml:space="preserve">Day 1 (22 Oct): mentor profiles on display · Day 2 (23 Oct): sign-up, matching and mentoring conversations</t>
  </si>
  <si>
    <t xml:space="preserve">A 6x3 stall with screen and profile display, sign-up desk, senior-friendly seating, and a separate quiet space on Day 2</t>
  </si>
  <si>
    <t xml:space="preserve">Sentiment to Swag</t>
  </si>
  <si>
    <t xml:space="preserve">Harshit Agarwal</t>
  </si>
  <si>
    <t xml:space="preserve">A live generative artwork on a big screen that reflects how attendees feel about each session. People respond via a QR code on their phones (or a tablet); the artwork changes every 30–60 minutes and past artworks can become swag.</t>
  </si>
  <si>
    <t xml:space="preserve">Give the room a visible, shared voice and create Goan-made artwork from the Conclave.</t>
  </si>
  <si>
    <t xml:space="preserve">High-footfall spot: in Stall B or near the main hall exit (to confirm)</t>
  </si>
  <si>
    <t xml:space="preserve">Both days, all day</t>
  </si>
  <si>
    <t xml:space="preserve">One large TV on a stand, HDMI, stable internet, power for TV and laptop</t>
  </si>
  <si>
    <t xml:space="preserve">Digital Delight with Susegad</t>
  </si>
  <si>
    <t xml:space="preserve">Sarat Gnanamgari (Asymmetrica AI)</t>
  </si>
  <si>
    <t xml:space="preserve">Every registrant gets a free digital Goa postcard with their name and a Conclave stamp, built on Susegad, an open-source Goan design library.</t>
  </si>
  <si>
    <t xml:space="preserve">A small Goan moment for every attendee, and a shareable asset that spreads the Conclave online.</t>
  </si>
  <si>
    <t xml:space="preserve">Online (registration flow) + optional screen near registration</t>
  </si>
  <si>
    <t xml:space="preserve">Before the event (from registration) and during it</t>
  </si>
  <si>
    <t xml:space="preserve">A link added to the registration confirmation page or email; optional screen near registration</t>
  </si>
  <si>
    <t xml:space="preserve">The AI Guy on Radio Mandovi 88.4 FM</t>
  </si>
  <si>
    <t xml:space="preserve">Karn Malhotra (host) with Radio Mandovi 88.4 FM; booth setup with Dr. Ashwin</t>
  </si>
  <si>
    <t xml:space="preserve">A live broadcast booth at the Conclave: speaker interviews on air, then follow-up episodes after the event. The weekly show also runs on Spotify.</t>
  </si>
  <si>
    <t xml:space="preserve">AI literacy for every citizen, reaching people who are not online, and lasting coverage of the Conclave.</t>
  </si>
  <si>
    <t xml:space="preserve">Stall A (3x3), or a quiet room in a prominent spot if the stall cannot be made quiet enough</t>
  </si>
  <si>
    <t xml:space="preserve">Both days</t>
  </si>
  <si>
    <t xml:space="preserve">A semi-enclosed 3x3 stall with sound dampening, table and chairs, wired internet, power and 'On Air' branding</t>
  </si>
  <si>
    <t xml:space="preserve">Spaces needed</t>
  </si>
  <si>
    <t xml:space="preserve">Three 3x3 stall units in total: one on its own for Radio Mandovi, and two combined into a 6x3 stall for POAI and Generation ReMix. Plus a quiet space for mentoring, and a backup recording room if needed.</t>
  </si>
  <si>
    <t xml:space="preserve">Space</t>
  </si>
  <si>
    <t xml:space="preserve">Size</t>
  </si>
  <si>
    <t xml:space="preserve">Stall units (3x3)</t>
  </si>
  <si>
    <t xml:space="preserve">Used by</t>
  </si>
  <si>
    <t xml:space="preserve">Days needed</t>
  </si>
  <si>
    <t xml:space="preserve">Must-have features</t>
  </si>
  <si>
    <t xml:space="preserve">Location preference</t>
  </si>
  <si>
    <t xml:space="preserve">Event team response</t>
  </si>
  <si>
    <t xml:space="preserve">Stall A: Radio Mandovi broadcast booth</t>
  </si>
  <si>
    <t xml:space="preserve">3m x 3m</t>
  </si>
  <si>
    <t xml:space="preserve">22 and 23 Oct</t>
  </si>
  <si>
    <t xml:space="preserve">Semi-enclosed (back and side walls); sound dampening (acoustic panels or heavy drapes, carpet); wired internet; 'On Air' sign</t>
  </si>
  <si>
    <t xml:space="preserve">Prominent and visible, so people can see recordings happening, but away from the loudest areas (stage, music, food)</t>
  </si>
  <si>
    <t xml:space="preserve">Stall B: POAI + Generation ReMix</t>
  </si>
  <si>
    <t xml:space="preserve">6m x 3m (two 3x3 units combined)</t>
  </si>
  <si>
    <t xml:space="preserve">Generation ReMix (Silver Surfers Club × POAI); Sentiment to Swag screen if placed here; POAI community welcome</t>
  </si>
  <si>
    <t xml:space="preserve">Open front; mentor profile display; screen; sign-up desk; seating with backrests for senior mentors</t>
  </si>
  <si>
    <t xml:space="preserve">High footfall, step-free (wheelchair accessible), close to the quiet space</t>
  </si>
  <si>
    <t xml:space="preserve">Quiet space: mentoring conversations</t>
  </si>
  <si>
    <t xml:space="preserve">Room or enclosed area for about 4 conversation tables (12–16 people)</t>
  </si>
  <si>
    <t xml:space="preserve">Generation ReMix mentors and students</t>
  </si>
  <si>
    <t xml:space="preserve">23 Oct (full day); 22 Oct for a short mentor briefing if available</t>
  </si>
  <si>
    <t xml:space="preserve">Low noise, enclosed or partitioned; step-free access; near restrooms; drinking water</t>
  </si>
  <si>
    <t xml:space="preserve">Next to or near Stall B</t>
  </si>
  <si>
    <t xml:space="preserve">Backup: quiet recording room (only if Stall A is not quiet enough)</t>
  </si>
  <si>
    <t xml:space="preserve">Small room for 4 people</t>
  </si>
  <si>
    <t xml:space="preserve">Quiet; wired internet; power; visible from outside (glass door/window) or clear 'Recording in progress' signage</t>
  </si>
  <si>
    <t xml:space="preserve">Prominent area, so attendees know recordings are happening</t>
  </si>
  <si>
    <t xml:space="preserve">Goa 2037 build area</t>
  </si>
  <si>
    <t xml:space="preserve">Space for about 15 team tables (est.)</t>
  </si>
  <si>
    <t xml:space="preserve">Goa 2037 AI Challenge teams and mentors</t>
  </si>
  <si>
    <t xml:space="preserve">Team tables and chairs; power at every table; strong Wi-Fi for about 60 laptops; one screen for the kickoff</t>
  </si>
  <si>
    <t xml:space="preserve">Indoors, close to the showcase area</t>
  </si>
  <si>
    <t xml:space="preserve">Goa 2037 showcase area</t>
  </si>
  <si>
    <t xml:space="preserve">Stage or hall for about 80 people (est.)</t>
  </si>
  <si>
    <t xml:space="preserve">Goa 2037 presentations, performances and accessibility demos; jury</t>
  </si>
  <si>
    <t xml:space="preserve">23 Oct evening</t>
  </si>
  <si>
    <t xml:space="preserve">Screen or projector; PA with mics; clear floor space for performances; demo tables; jury table; step-free access and reserved accessible seating</t>
  </si>
  <si>
    <t xml:space="preserve">One of the halls, or a stage area that can be used in the evening</t>
  </si>
  <si>
    <t xml:space="preserve">Total stall units</t>
  </si>
  <si>
    <t xml:space="preserve">Itemised requirements</t>
  </si>
  <si>
    <t xml:space="preserve">Priority: Must = needed for the initiative to run · Optional = nice to have. Provided by: who supplies the item. Yellow = estimate or to confirm.</t>
  </si>
  <si>
    <t xml:space="preserve">Category</t>
  </si>
  <si>
    <t xml:space="preserve">Item</t>
  </si>
  <si>
    <t xml:space="preserve">Specification</t>
  </si>
  <si>
    <t xml:space="preserve">Qty</t>
  </si>
  <si>
    <t xml:space="preserve">Item type (for totals)</t>
  </si>
  <si>
    <t xml:space="preserve">When needed</t>
  </si>
  <si>
    <t xml:space="preserve">Priority</t>
  </si>
  <si>
    <t xml:space="preserve">Provided by</t>
  </si>
  <si>
    <t xml:space="preserve">Notes</t>
  </si>
  <si>
    <t xml:space="preserve">Radio Mandovi</t>
  </si>
  <si>
    <t xml:space="preserve">Stall A</t>
  </si>
  <si>
    <t xml:space="preserve">3x3 stall</t>
  </si>
  <si>
    <t xml:space="preserve">Semi-enclosed shell stall, 3m x 3m, back and side walls</t>
  </si>
  <si>
    <t xml:space="preserve">Stall unit (3x3)</t>
  </si>
  <si>
    <t xml:space="preserve">22–23 Oct</t>
  </si>
  <si>
    <t xml:space="preserve">Must</t>
  </si>
  <si>
    <t xml:space="preserve">Event team</t>
  </si>
  <si>
    <t xml:space="preserve">Acoustics</t>
  </si>
  <si>
    <t xml:space="preserve">Sound dampening</t>
  </si>
  <si>
    <t xml:space="preserve">Acoustic panels or heavy drapes on the walls, carpet or rug on the floor</t>
  </si>
  <si>
    <t xml:space="preserve">Other</t>
  </si>
  <si>
    <t xml:space="preserve">If the stall cannot be made quiet enough, use the backup recording room instead</t>
  </si>
  <si>
    <t xml:space="preserve">Furniture</t>
  </si>
  <si>
    <t xml:space="preserve">Broadcast table</t>
  </si>
  <si>
    <t xml:space="preserve">Table about 1.5m x 0.75m, with a cloth</t>
  </si>
  <si>
    <t xml:space="preserve">Table</t>
  </si>
  <si>
    <t xml:space="preserve">Chairs</t>
  </si>
  <si>
    <t xml:space="preserve">Chairs with backrests: 1 host + up to 3 guests</t>
  </si>
  <si>
    <t xml:space="preserve">Chair</t>
  </si>
  <si>
    <t xml:space="preserve">Branding</t>
  </si>
  <si>
    <t xml:space="preserve">Backdrop and 'On Air' sign</t>
  </si>
  <si>
    <t xml:space="preserve">Backdrop with Radio Mandovi 88.4 FM, The AI Guy and POAI logos; an 'On Air' light or sign</t>
  </si>
  <si>
    <t xml:space="preserve">Event team (print); POAI (artwork)</t>
  </si>
  <si>
    <t xml:space="preserve">Artwork from POAI</t>
  </si>
  <si>
    <t xml:space="preserve">Screen</t>
  </si>
  <si>
    <t xml:space="preserve">Info screen</t>
  </si>
  <si>
    <t xml:space="preserve">32–43 inch TV on a stand showing 'Live now / Up next' guests</t>
  </si>
  <si>
    <t xml:space="preserve">Screen 32–43 inch</t>
  </si>
  <si>
    <t xml:space="preserve">Optional</t>
  </si>
  <si>
    <t xml:space="preserve">Power</t>
  </si>
  <si>
    <t xml:space="preserve">Power sockets</t>
  </si>
  <si>
    <t xml:space="preserve">Sockets for audio mixer, laptop and mics, plus 1 extension board</t>
  </si>
  <si>
    <t xml:space="preserve">Power socket</t>
  </si>
  <si>
    <t xml:space="preserve">Internet</t>
  </si>
  <si>
    <t xml:space="preserve">Wired internet</t>
  </si>
  <si>
    <t xml:space="preserve">Dedicated wired LAN for live broadcast/streaming, at least 10 Mbps upload</t>
  </si>
  <si>
    <t xml:space="preserve">Internet connection</t>
  </si>
  <si>
    <t xml:space="preserve">Audio</t>
  </si>
  <si>
    <t xml:space="preserve">Broadcast audio kit</t>
  </si>
  <si>
    <t xml:space="preserve">Microphones, headphones and mixer</t>
  </si>
  <si>
    <t xml:space="preserve">To confirm with Radio Mandovi what they bring</t>
  </si>
  <si>
    <t xml:space="preserve">Backup recording room</t>
  </si>
  <si>
    <t xml:space="preserve">Quiet recording room</t>
  </si>
  <si>
    <t xml:space="preserve">Small room for 4 people, in a prominent spot, visible from outside or with clear 'Recording in progress' signage</t>
  </si>
  <si>
    <t xml:space="preserve">Room</t>
  </si>
  <si>
    <t xml:space="preserve">Only needed if Stall A is not quiet enough</t>
  </si>
  <si>
    <t xml:space="preserve">Generation ReMix</t>
  </si>
  <si>
    <t xml:space="preserve">Stall B</t>
  </si>
  <si>
    <t xml:space="preserve">6x3 stall</t>
  </si>
  <si>
    <t xml:space="preserve">Two 3x3 stall units combined into one 6m x 3m stall, open front, step-free</t>
  </si>
  <si>
    <t xml:space="preserve">Shared by Generation ReMix and POAI</t>
  </si>
  <si>
    <t xml:space="preserve">Stall backdrop and fascia</t>
  </si>
  <si>
    <t xml:space="preserve">Backdrop and fascia: 'Generation ReMix · The Silver Surfers Club × POAI'</t>
  </si>
  <si>
    <t xml:space="preserve">Mentor profile screen</t>
  </si>
  <si>
    <t xml:space="preserve">55 inch TV on a floor stand, HDMI input, looping mentor profiles and POAI content</t>
  </si>
  <si>
    <t xml:space="preserve">Screen 55 inch</t>
  </si>
  <si>
    <t xml:space="preserve">Content from POAI on a laptop or USB</t>
  </si>
  <si>
    <t xml:space="preserve">Display</t>
  </si>
  <si>
    <t xml:space="preserve">Mentor profile wall</t>
  </si>
  <si>
    <t xml:space="preserve">Printed mentor profile panel or standees, so students can see who is taking part</t>
  </si>
  <si>
    <t xml:space="preserve">Event team (print); Silver Surfers Club (profiles)</t>
  </si>
  <si>
    <t xml:space="preserve">Number of profiles depends on mentors confirmed</t>
  </si>
  <si>
    <t xml:space="preserve">QR sign-up standees</t>
  </si>
  <si>
    <t xml:space="preserve">A4 table-top standees with the sign-up QR code</t>
  </si>
  <si>
    <t xml:space="preserve">Sign-up and matching desk</t>
  </si>
  <si>
    <t xml:space="preserve">Table with cloth</t>
  </si>
  <si>
    <t xml:space="preserve">Desk chairs</t>
  </si>
  <si>
    <t xml:space="preserve">Chairs for the sign-up desk</t>
  </si>
  <si>
    <t xml:space="preserve">Seating for mentors and visitors</t>
  </si>
  <si>
    <t xml:space="preserve">Chairs with backrests (armrests preferred) for senior mentors</t>
  </si>
  <si>
    <t xml:space="preserve">For the TV, a laptop and phone charging, plus 1 extension board</t>
  </si>
  <si>
    <t xml:space="preserve">Wi-Fi access</t>
  </si>
  <si>
    <t xml:space="preserve">Wi-Fi for the sign-up laptop/tablet</t>
  </si>
  <si>
    <t xml:space="preserve">Equipment</t>
  </si>
  <si>
    <t xml:space="preserve">Sign-up laptop or tablet</t>
  </si>
  <si>
    <t xml:space="preserve">For student sign-ups and matching</t>
  </si>
  <si>
    <t xml:space="preserve">POAI</t>
  </si>
  <si>
    <t xml:space="preserve">Quiet space</t>
  </si>
  <si>
    <t xml:space="preserve">Quiet mentoring room</t>
  </si>
  <si>
    <t xml:space="preserve">Enclosed or partitioned area for about 4 conversation tables, low noise, step-free, near restrooms</t>
  </si>
  <si>
    <t xml:space="preserve">23 Oct (full day)</t>
  </si>
  <si>
    <t xml:space="preserve">Mentoring is one-to-one, or small groups for 18–20 year olds</t>
  </si>
  <si>
    <t xml:space="preserve">Conversation tables</t>
  </si>
  <si>
    <t xml:space="preserve">Small round or square tables</t>
  </si>
  <si>
    <t xml:space="preserve">23 Oct</t>
  </si>
  <si>
    <t xml:space="preserve">Chairs with backrests: 3–4 per table</t>
  </si>
  <si>
    <t xml:space="preserve">Signage</t>
  </si>
  <si>
    <t xml:space="preserve">Quiet signage</t>
  </si>
  <si>
    <t xml:space="preserve">'Generation ReMix mentoring in progress, quiet please'</t>
  </si>
  <si>
    <t xml:space="preserve">Hospitality</t>
  </si>
  <si>
    <t xml:space="preserve">Drinking water</t>
  </si>
  <si>
    <t xml:space="preserve">Water for senior mentors and students through the day</t>
  </si>
  <si>
    <t xml:space="preserve">Stall B or near main hall exit</t>
  </si>
  <si>
    <t xml:space="preserve">Artwork screen</t>
  </si>
  <si>
    <t xml:space="preserve">65 inch TV (55 inch minimum) on a floor stand, landscape, HDMI input</t>
  </si>
  <si>
    <t xml:space="preserve">Screen 65 inch</t>
  </si>
  <si>
    <t xml:space="preserve">Shows the live artwork with a QR code at the bottom</t>
  </si>
  <si>
    <t xml:space="preserve">Cabling</t>
  </si>
  <si>
    <t xml:space="preserve">HDMI cable</t>
  </si>
  <si>
    <t xml:space="preserve">HDMI cable, 3m, MacBook to TV</t>
  </si>
  <si>
    <t xml:space="preserve">MacBook</t>
  </si>
  <si>
    <t xml:space="preserve">Runs the artwork web app, connected to the TV</t>
  </si>
  <si>
    <t xml:space="preserve">Response tablet on stand</t>
  </si>
  <si>
    <t xml:space="preserve">Tablet on a floor stand for attendees who prefer not to use their phone</t>
  </si>
  <si>
    <t xml:space="preserve">Harshit Agarwal / POAI</t>
  </si>
  <si>
    <t xml:space="preserve">Most responses come via the QR code on phones</t>
  </si>
  <si>
    <t xml:space="preserve">Stable internet</t>
  </si>
  <si>
    <t xml:space="preserve">Wired LAN preferred, or dedicated Wi-Fi, at least 20 Mbps</t>
  </si>
  <si>
    <t xml:space="preserve">For the TV, MacBook and tablet</t>
  </si>
  <si>
    <t xml:space="preserve">Susegad</t>
  </si>
  <si>
    <t xml:space="preserve">Online</t>
  </si>
  <si>
    <t xml:space="preserve">Registration</t>
  </si>
  <si>
    <t xml:space="preserve">Postcard link in registration flow</t>
  </si>
  <si>
    <t xml:space="preserve">Add a 'Claim your Goa postcard' link to the registration confirmation page or email</t>
  </si>
  <si>
    <t xml:space="preserve">Before registration opens to the public, or as soon as possible</t>
  </si>
  <si>
    <t xml:space="preserve">Registration platform team</t>
  </si>
  <si>
    <t xml:space="preserve">POAI shares the link; personalised link with first name if possible</t>
  </si>
  <si>
    <t xml:space="preserve">Near registration</t>
  </si>
  <si>
    <t xml:space="preserve">Postcard wall screen</t>
  </si>
  <si>
    <t xml:space="preserve">43–55 inch TV on a stand near registration, showing Goa postcards</t>
  </si>
  <si>
    <t xml:space="preserve">Screen 43–55 inch</t>
  </si>
  <si>
    <t xml:space="preserve">For the postcard screen</t>
  </si>
  <si>
    <t xml:space="preserve">Goa 2037 AI Challenge</t>
  </si>
  <si>
    <t xml:space="preserve">Build area</t>
  </si>
  <si>
    <t xml:space="preserve">Team tables</t>
  </si>
  <si>
    <t xml:space="preserve">6 ft tables, one per team</t>
  </si>
  <si>
    <t xml:space="preserve">Estimate: about 15 teams; confirm with Curiouswala after sign-ups close</t>
  </si>
  <si>
    <t xml:space="preserve">Team chairs</t>
  </si>
  <si>
    <t xml:space="preserve">4 chairs per team</t>
  </si>
  <si>
    <t xml:space="preserve">Estimate, as above</t>
  </si>
  <si>
    <t xml:space="preserve">Extension boards</t>
  </si>
  <si>
    <t xml:space="preserve">One 4-socket extension board per team table</t>
  </si>
  <si>
    <t xml:space="preserve">Counted as boards</t>
  </si>
  <si>
    <t xml:space="preserve">High-capacity Wi-Fi</t>
  </si>
  <si>
    <t xml:space="preserve">Wi-Fi for about 60 laptops at once</t>
  </si>
  <si>
    <t xml:space="preserve">Kickoff screen</t>
  </si>
  <si>
    <t xml:space="preserve">65–75 inch screen or projector and screen, HDMI, for the kickoff AI demo</t>
  </si>
  <si>
    <t xml:space="preserve">Screen 65–75 inch / projector</t>
  </si>
  <si>
    <t xml:space="preserve">22 Oct</t>
  </si>
  <si>
    <t xml:space="preserve">Kickoff mic</t>
  </si>
  <si>
    <t xml:space="preserve">1 handheld wireless mic with small speaker</t>
  </si>
  <si>
    <t xml:space="preserve">Showcase area</t>
  </si>
  <si>
    <t xml:space="preserve">Showcase screen</t>
  </si>
  <si>
    <t xml:space="preserve">LED screen or projector and screen, HDMI, laptop playback with audio</t>
  </si>
  <si>
    <t xml:space="preserve">PA system</t>
  </si>
  <si>
    <t xml:space="preserve">PA with 2 handheld wireless mics, 1 lapel mic, and a laptop audio input</t>
  </si>
  <si>
    <t xml:space="preserve">Performances may use music and live sound</t>
  </si>
  <si>
    <t xml:space="preserve">Performance floor</t>
  </si>
  <si>
    <t xml:space="preserve">Clear floor space about 4m x 3m for performances</t>
  </si>
  <si>
    <t xml:space="preserve">Demo tables</t>
  </si>
  <si>
    <t xml:space="preserve">Tables for accessibility prototype demos</t>
  </si>
  <si>
    <t xml:space="preserve">Estimate</t>
  </si>
  <si>
    <t xml:space="preserve">Jury table and chairs</t>
  </si>
  <si>
    <t xml:space="preserve">1 table with 5 chairs for the jury</t>
  </si>
  <si>
    <t xml:space="preserve">Plus 5 chairs, counted below</t>
  </si>
  <si>
    <t xml:space="preserve">Jury chairs</t>
  </si>
  <si>
    <t xml:space="preserve">Chairs for the jury</t>
  </si>
  <si>
    <t xml:space="preserve">Audience seating</t>
  </si>
  <si>
    <t xml:space="preserve">Chairs, with reserved accessible seating at the front</t>
  </si>
  <si>
    <t xml:space="preserve">Estimate; not needed if held in an existing hall</t>
  </si>
  <si>
    <t xml:space="preserve">Accessibility</t>
  </si>
  <si>
    <t xml:space="preserve">Step-free access</t>
  </si>
  <si>
    <t xml:space="preserve">Ramp or step-free route to the stage and demo tables; reserved seating for people the accessibility entries are built for</t>
  </si>
  <si>
    <t xml:space="preserve">Core to the inclusivity focus</t>
  </si>
  <si>
    <t xml:space="preserve">All POAI initiatives</t>
  </si>
  <si>
    <t xml:space="preserve">All</t>
  </si>
  <si>
    <t xml:space="preserve">Logistics</t>
  </si>
  <si>
    <t xml:space="preserve">Lockable storage</t>
  </si>
  <si>
    <t xml:space="preserve">Lockable space to keep POAI and partner equipment overnight</t>
  </si>
  <si>
    <t xml:space="preserve">21–23 Oct</t>
  </si>
  <si>
    <t xml:space="preserve">Passes and badges</t>
  </si>
  <si>
    <t xml:space="preserve">Passes for POAI team, partners, mentors, Goa 2037 mentors and volunteers</t>
  </si>
  <si>
    <t xml:space="preserve">Pass</t>
  </si>
  <si>
    <t xml:space="preserve">Number to be shared by POAI</t>
  </si>
  <si>
    <t xml:space="preserve">Setup access</t>
  </si>
  <si>
    <t xml:space="preserve">Access the evening before (21 Oct) to set up screens, booth and branding</t>
  </si>
  <si>
    <t xml:space="preserve">21 Oct</t>
  </si>
  <si>
    <t xml:space="preserve">Totals by item type</t>
  </si>
  <si>
    <t xml:space="preserve">Calculated from the Requirements sheet. Edit quantities there, not here.</t>
  </si>
  <si>
    <t xml:space="preserve">Item type</t>
  </si>
  <si>
    <t xml:space="preserve">Must-have</t>
  </si>
  <si>
    <t xml:space="preserve">Including optional</t>
  </si>
  <si>
    <t xml:space="preserve">All screens (any size)</t>
  </si>
  <si>
    <t xml:space="preserve">Power socket counts include extension boards (Goa 2037 counts one 4-socket board per team table). Pass count is 0 until POAI shares numbers.</t>
  </si>
  <si>
    <t xml:space="preserve">Still to confirm</t>
  </si>
  <si>
    <t xml:space="preserve">Question</t>
  </si>
  <si>
    <t xml:space="preserve">Who answers</t>
  </si>
  <si>
    <t xml:space="preserve">Answer</t>
  </si>
  <si>
    <t xml:space="preserve">Can Stall A be made quiet enough for broadcast, or do we need the backup recording room?</t>
  </si>
  <si>
    <t xml:space="preserve">Event team + Radio Mandovi</t>
  </si>
  <si>
    <t xml:space="preserve">What audio equipment does Radio Mandovi bring, and what does it need from the venue?</t>
  </si>
  <si>
    <t xml:space="preserve">Radio Mandovi / Karn</t>
  </si>
  <si>
    <t xml:space="preserve">Where does the Sentiment to Swag screen go: in Stall B or near the main hall exit?</t>
  </si>
  <si>
    <t xml:space="preserve">Event team + Harshit</t>
  </si>
  <si>
    <t xml:space="preserve">How many Goa 2037 teams and students? (Estimates assume about 15 teams of 4.)</t>
  </si>
  <si>
    <t xml:space="preserve">Curiouswala (Hasan, Aniket)</t>
  </si>
  <si>
    <t xml:space="preserve">Which hall or stage hosts the Goa 2037 showcase on the evening of 23 Oct?</t>
  </si>
  <si>
    <t xml:space="preserve">How many mentors will attend on Day 2, and for which hours?</t>
  </si>
  <si>
    <t xml:space="preserve">Silver Surfers Club (Dipti)</t>
  </si>
  <si>
    <t xml:space="preserve">Is a quiet room available near Stall B on 23 Oct?</t>
  </si>
  <si>
    <t xml:space="preserve">Who runs the registration platform, and can it carry the Susegad postcard link?</t>
  </si>
  <si>
    <t xml:space="preserve">How many passes are needed for the POAI team, partners, mentors and volunteers?</t>
  </si>
  <si>
    <t xml:space="preserve">POAI (Karn)</t>
  </si>
  <si>
    <t xml:space="preserve">Will setup access be available on the evening of 21 Oct?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</si>
</sst>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48"/>
    <col collapsed="false" customWidth="true" hidden="false" outlineLevel="0" max="5" min="5" style="0" width="40"/>
    <col collapsed="false" customWidth="true" hidden="false" outlineLevel="0" max="7" min="6" style="0" width="26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</row>
    <row r="6" customFormat="false" ht="15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customFormat="false" ht="105" hidden="false" customHeight="true" outlineLevel="0" collapsed="false">
      <c r="A7" s="6" t="n">
        <v>1</v>
      </c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</row>
    <row r="8" customFormat="false" ht="105" hidden="false" customHeight="true" outlineLevel="0" collapsed="false">
      <c r="A8" s="6" t="n">
        <v>2</v>
      </c>
      <c r="B8" s="6" t="s">
        <v>19</v>
      </c>
      <c r="C8" s="6" t="s">
        <v>20</v>
      </c>
      <c r="D8" s="6" t="s">
        <v>21</v>
      </c>
      <c r="E8" s="6" t="s">
        <v>22</v>
      </c>
      <c r="F8" s="6" t="s">
        <v>23</v>
      </c>
      <c r="G8" s="6" t="s">
        <v>24</v>
      </c>
      <c r="H8" s="6" t="s">
        <v>25</v>
      </c>
    </row>
    <row r="9" customFormat="false" ht="105" hidden="false" customHeight="true" outlineLevel="0" collapsed="false">
      <c r="A9" s="6" t="n">
        <v>3</v>
      </c>
      <c r="B9" s="6" t="s">
        <v>26</v>
      </c>
      <c r="C9" s="6" t="s">
        <v>27</v>
      </c>
      <c r="D9" s="6" t="s">
        <v>28</v>
      </c>
      <c r="E9" s="6" t="s">
        <v>29</v>
      </c>
      <c r="F9" s="6" t="s">
        <v>30</v>
      </c>
      <c r="G9" s="6" t="s">
        <v>31</v>
      </c>
      <c r="H9" s="6" t="s">
        <v>32</v>
      </c>
    </row>
    <row r="10" customFormat="false" ht="105" hidden="false" customHeight="true" outlineLevel="0" collapsed="false">
      <c r="A10" s="6" t="n">
        <v>4</v>
      </c>
      <c r="B10" s="6" t="s">
        <v>33</v>
      </c>
      <c r="C10" s="6" t="s">
        <v>34</v>
      </c>
      <c r="D10" s="6" t="s">
        <v>35</v>
      </c>
      <c r="E10" s="6" t="s">
        <v>36</v>
      </c>
      <c r="F10" s="6" t="s">
        <v>37</v>
      </c>
      <c r="G10" s="6" t="s">
        <v>38</v>
      </c>
      <c r="H10" s="6" t="s">
        <v>39</v>
      </c>
    </row>
    <row r="11" customFormat="false" ht="105" hidden="false" customHeight="true" outlineLevel="0" collapsed="false">
      <c r="A11" s="6" t="n">
        <v>5</v>
      </c>
      <c r="B11" s="6" t="s">
        <v>40</v>
      </c>
      <c r="C11" s="6" t="s">
        <v>41</v>
      </c>
      <c r="D11" s="6" t="s">
        <v>42</v>
      </c>
      <c r="E11" s="6" t="s">
        <v>43</v>
      </c>
      <c r="F11" s="6" t="s">
        <v>44</v>
      </c>
      <c r="G11" s="6" t="s">
        <v>45</v>
      </c>
      <c r="H11" s="6" t="s">
        <v>46</v>
      </c>
    </row>
  </sheetData>
  <mergeCells count="2">
    <mergeCell ref="A3:H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50"/>
    <col collapsed="false" customWidth="true" hidden="false" outlineLevel="0" max="7" min="7" style="0" width="36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47</v>
      </c>
    </row>
    <row r="2" customFormat="false" ht="30" hidden="false" customHeight="true" outlineLevel="0" collapsed="false">
      <c r="A2" s="3" t="s">
        <v>48</v>
      </c>
      <c r="B2" s="3"/>
      <c r="C2" s="3"/>
      <c r="D2" s="3"/>
      <c r="E2" s="3"/>
      <c r="F2" s="3"/>
      <c r="G2" s="3"/>
      <c r="H2" s="3"/>
    </row>
    <row r="4" customFormat="false" ht="23.85" hidden="false" customHeight="false" outlineLevel="0" collapsed="false">
      <c r="A4" s="5" t="s">
        <v>49</v>
      </c>
      <c r="B4" s="5" t="s">
        <v>50</v>
      </c>
      <c r="C4" s="5" t="s">
        <v>51</v>
      </c>
      <c r="D4" s="5" t="s">
        <v>52</v>
      </c>
      <c r="E4" s="5" t="s">
        <v>53</v>
      </c>
      <c r="F4" s="5" t="s">
        <v>54</v>
      </c>
      <c r="G4" s="5" t="s">
        <v>55</v>
      </c>
      <c r="H4" s="5" t="s">
        <v>56</v>
      </c>
    </row>
    <row r="5" customFormat="false" ht="75" hidden="false" customHeight="true" outlineLevel="0" collapsed="false">
      <c r="A5" s="6" t="s">
        <v>57</v>
      </c>
      <c r="B5" s="6" t="s">
        <v>58</v>
      </c>
      <c r="C5" s="6" t="n">
        <v>1</v>
      </c>
      <c r="D5" s="6" t="s">
        <v>40</v>
      </c>
      <c r="E5" s="6" t="s">
        <v>59</v>
      </c>
      <c r="F5" s="6" t="s">
        <v>60</v>
      </c>
      <c r="G5" s="6" t="s">
        <v>61</v>
      </c>
      <c r="H5" s="6"/>
    </row>
    <row r="6" customFormat="false" ht="75" hidden="false" customHeight="true" outlineLevel="0" collapsed="false">
      <c r="A6" s="6" t="s">
        <v>62</v>
      </c>
      <c r="B6" s="6" t="s">
        <v>63</v>
      </c>
      <c r="C6" s="6" t="n">
        <v>2</v>
      </c>
      <c r="D6" s="6" t="s">
        <v>64</v>
      </c>
      <c r="E6" s="6" t="s">
        <v>59</v>
      </c>
      <c r="F6" s="6" t="s">
        <v>65</v>
      </c>
      <c r="G6" s="6" t="s">
        <v>66</v>
      </c>
      <c r="H6" s="6"/>
    </row>
    <row r="7" customFormat="false" ht="75" hidden="false" customHeight="true" outlineLevel="0" collapsed="false">
      <c r="A7" s="6" t="s">
        <v>67</v>
      </c>
      <c r="B7" s="6" t="s">
        <v>68</v>
      </c>
      <c r="C7" s="6" t="n">
        <v>0</v>
      </c>
      <c r="D7" s="6" t="s">
        <v>69</v>
      </c>
      <c r="E7" s="6" t="s">
        <v>70</v>
      </c>
      <c r="F7" s="6" t="s">
        <v>71</v>
      </c>
      <c r="G7" s="6" t="s">
        <v>72</v>
      </c>
      <c r="H7" s="6"/>
    </row>
    <row r="8" customFormat="false" ht="75" hidden="false" customHeight="true" outlineLevel="0" collapsed="false">
      <c r="A8" s="6" t="s">
        <v>73</v>
      </c>
      <c r="B8" s="6" t="s">
        <v>74</v>
      </c>
      <c r="C8" s="6" t="n">
        <v>0</v>
      </c>
      <c r="D8" s="6" t="s">
        <v>40</v>
      </c>
      <c r="E8" s="6" t="s">
        <v>59</v>
      </c>
      <c r="F8" s="6" t="s">
        <v>75</v>
      </c>
      <c r="G8" s="6" t="s">
        <v>76</v>
      </c>
      <c r="H8" s="6"/>
    </row>
    <row r="9" customFormat="false" ht="75" hidden="false" customHeight="true" outlineLevel="0" collapsed="false">
      <c r="A9" s="6" t="s">
        <v>77</v>
      </c>
      <c r="B9" s="7" t="s">
        <v>78</v>
      </c>
      <c r="C9" s="6" t="n">
        <v>0</v>
      </c>
      <c r="D9" s="6" t="s">
        <v>79</v>
      </c>
      <c r="E9" s="6" t="s">
        <v>59</v>
      </c>
      <c r="F9" s="6" t="s">
        <v>80</v>
      </c>
      <c r="G9" s="6" t="s">
        <v>81</v>
      </c>
      <c r="H9" s="6"/>
    </row>
    <row r="10" customFormat="false" ht="75" hidden="false" customHeight="true" outlineLevel="0" collapsed="false">
      <c r="A10" s="6" t="s">
        <v>82</v>
      </c>
      <c r="B10" s="7" t="s">
        <v>83</v>
      </c>
      <c r="C10" s="6" t="n">
        <v>0</v>
      </c>
      <c r="D10" s="6" t="s">
        <v>84</v>
      </c>
      <c r="E10" s="6" t="s">
        <v>85</v>
      </c>
      <c r="F10" s="6" t="s">
        <v>86</v>
      </c>
      <c r="G10" s="6" t="s">
        <v>87</v>
      </c>
      <c r="H10" s="6"/>
    </row>
    <row r="11" customFormat="false" ht="15" hidden="false" customHeight="false" outlineLevel="0" collapsed="false">
      <c r="B11" s="8" t="s">
        <v>88</v>
      </c>
      <c r="C11" s="9" t="n">
        <f aca="false">SUM(C5:C10)</f>
        <v>3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2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46"/>
    <col collapsed="false" customWidth="true" hidden="false" outlineLevel="0" max="7" min="7" style="0" width="7"/>
    <col collapsed="false" customWidth="true" hidden="false" outlineLevel="0" max="9" min="8" style="0" width="20"/>
    <col collapsed="false" customWidth="true" hidden="false" outlineLevel="0" max="10" min="10" style="0" width="10"/>
    <col collapsed="false" customWidth="true" hidden="false" outlineLevel="0" max="11" min="11" style="0" width="18"/>
    <col collapsed="false" customWidth="true" hidden="false" outlineLevel="0" max="12" min="12" style="0" width="36"/>
    <col collapsed="false" customWidth="true" hidden="false" outlineLevel="0" max="13" min="13" style="0" width="28"/>
  </cols>
  <sheetData>
    <row r="1" customFormat="false" ht="17.35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4" customFormat="false" ht="15" hidden="false" customHeight="false" outlineLevel="0" collapsed="false">
      <c r="A4" s="5" t="s">
        <v>4</v>
      </c>
      <c r="B4" s="5" t="s">
        <v>5</v>
      </c>
      <c r="C4" s="5" t="s">
        <v>49</v>
      </c>
      <c r="D4" s="5" t="s">
        <v>91</v>
      </c>
      <c r="E4" s="5" t="s">
        <v>92</v>
      </c>
      <c r="F4" s="5" t="s">
        <v>93</v>
      </c>
      <c r="G4" s="5" t="s">
        <v>94</v>
      </c>
      <c r="H4" s="5" t="s">
        <v>95</v>
      </c>
      <c r="I4" s="5" t="s">
        <v>96</v>
      </c>
      <c r="J4" s="5" t="s">
        <v>97</v>
      </c>
      <c r="K4" s="5" t="s">
        <v>98</v>
      </c>
      <c r="L4" s="5" t="s">
        <v>99</v>
      </c>
      <c r="M4" s="5" t="s">
        <v>56</v>
      </c>
    </row>
    <row r="5" customFormat="false" ht="45" hidden="false" customHeight="true" outlineLevel="0" collapsed="false">
      <c r="A5" s="6" t="n">
        <v>1</v>
      </c>
      <c r="B5" s="6" t="s">
        <v>100</v>
      </c>
      <c r="C5" s="6" t="s">
        <v>101</v>
      </c>
      <c r="D5" s="6" t="s">
        <v>49</v>
      </c>
      <c r="E5" s="6" t="s">
        <v>102</v>
      </c>
      <c r="F5" s="6" t="s">
        <v>103</v>
      </c>
      <c r="G5" s="6" t="n">
        <v>1</v>
      </c>
      <c r="H5" s="6" t="s">
        <v>104</v>
      </c>
      <c r="I5" s="6" t="s">
        <v>105</v>
      </c>
      <c r="J5" s="6" t="s">
        <v>106</v>
      </c>
      <c r="K5" s="6" t="s">
        <v>107</v>
      </c>
      <c r="L5" s="6"/>
      <c r="M5" s="6"/>
    </row>
    <row r="6" customFormat="false" ht="45" hidden="false" customHeight="true" outlineLevel="0" collapsed="false">
      <c r="A6" s="6" t="n">
        <v>2</v>
      </c>
      <c r="B6" s="6" t="s">
        <v>100</v>
      </c>
      <c r="C6" s="6" t="s">
        <v>101</v>
      </c>
      <c r="D6" s="6" t="s">
        <v>108</v>
      </c>
      <c r="E6" s="6" t="s">
        <v>109</v>
      </c>
      <c r="F6" s="6" t="s">
        <v>110</v>
      </c>
      <c r="G6" s="6" t="n">
        <v>1</v>
      </c>
      <c r="H6" s="6" t="s">
        <v>111</v>
      </c>
      <c r="I6" s="6" t="s">
        <v>105</v>
      </c>
      <c r="J6" s="6" t="s">
        <v>106</v>
      </c>
      <c r="K6" s="6" t="s">
        <v>107</v>
      </c>
      <c r="L6" s="6" t="s">
        <v>112</v>
      </c>
      <c r="M6" s="6"/>
    </row>
    <row r="7" customFormat="false" ht="45" hidden="false" customHeight="true" outlineLevel="0" collapsed="false">
      <c r="A7" s="6" t="n">
        <v>3</v>
      </c>
      <c r="B7" s="6" t="s">
        <v>100</v>
      </c>
      <c r="C7" s="6" t="s">
        <v>101</v>
      </c>
      <c r="D7" s="6" t="s">
        <v>113</v>
      </c>
      <c r="E7" s="6" t="s">
        <v>114</v>
      </c>
      <c r="F7" s="6" t="s">
        <v>115</v>
      </c>
      <c r="G7" s="6" t="n">
        <v>1</v>
      </c>
      <c r="H7" s="6" t="s">
        <v>116</v>
      </c>
      <c r="I7" s="6" t="s">
        <v>105</v>
      </c>
      <c r="J7" s="6" t="s">
        <v>106</v>
      </c>
      <c r="K7" s="6" t="s">
        <v>107</v>
      </c>
      <c r="L7" s="6"/>
      <c r="M7" s="6"/>
    </row>
    <row r="8" customFormat="false" ht="45" hidden="false" customHeight="true" outlineLevel="0" collapsed="false">
      <c r="A8" s="6" t="n">
        <v>4</v>
      </c>
      <c r="B8" s="6" t="s">
        <v>100</v>
      </c>
      <c r="C8" s="6" t="s">
        <v>101</v>
      </c>
      <c r="D8" s="6" t="s">
        <v>113</v>
      </c>
      <c r="E8" s="6" t="s">
        <v>117</v>
      </c>
      <c r="F8" s="6" t="s">
        <v>118</v>
      </c>
      <c r="G8" s="6" t="n">
        <v>4</v>
      </c>
      <c r="H8" s="6" t="s">
        <v>119</v>
      </c>
      <c r="I8" s="6" t="s">
        <v>105</v>
      </c>
      <c r="J8" s="6" t="s">
        <v>106</v>
      </c>
      <c r="K8" s="6" t="s">
        <v>107</v>
      </c>
      <c r="L8" s="6"/>
      <c r="M8" s="6"/>
    </row>
    <row r="9" customFormat="false" ht="45" hidden="false" customHeight="true" outlineLevel="0" collapsed="false">
      <c r="A9" s="6" t="n">
        <v>5</v>
      </c>
      <c r="B9" s="6" t="s">
        <v>100</v>
      </c>
      <c r="C9" s="6" t="s">
        <v>101</v>
      </c>
      <c r="D9" s="6" t="s">
        <v>120</v>
      </c>
      <c r="E9" s="6" t="s">
        <v>121</v>
      </c>
      <c r="F9" s="6" t="s">
        <v>122</v>
      </c>
      <c r="G9" s="6" t="n">
        <v>1</v>
      </c>
      <c r="H9" s="6" t="s">
        <v>120</v>
      </c>
      <c r="I9" s="6" t="s">
        <v>105</v>
      </c>
      <c r="J9" s="6" t="s">
        <v>106</v>
      </c>
      <c r="K9" s="6" t="s">
        <v>123</v>
      </c>
      <c r="L9" s="6" t="s">
        <v>124</v>
      </c>
      <c r="M9" s="6"/>
    </row>
    <row r="10" customFormat="false" ht="45" hidden="false" customHeight="true" outlineLevel="0" collapsed="false">
      <c r="A10" s="6" t="n">
        <v>6</v>
      </c>
      <c r="B10" s="6" t="s">
        <v>100</v>
      </c>
      <c r="C10" s="6" t="s">
        <v>101</v>
      </c>
      <c r="D10" s="6" t="s">
        <v>125</v>
      </c>
      <c r="E10" s="6" t="s">
        <v>126</v>
      </c>
      <c r="F10" s="6" t="s">
        <v>127</v>
      </c>
      <c r="G10" s="6" t="n">
        <v>1</v>
      </c>
      <c r="H10" s="6" t="s">
        <v>128</v>
      </c>
      <c r="I10" s="6" t="s">
        <v>105</v>
      </c>
      <c r="J10" s="6" t="s">
        <v>129</v>
      </c>
      <c r="K10" s="6" t="s">
        <v>107</v>
      </c>
      <c r="L10" s="6"/>
      <c r="M10" s="6"/>
    </row>
    <row r="11" customFormat="false" ht="45" hidden="false" customHeight="true" outlineLevel="0" collapsed="false">
      <c r="A11" s="6" t="n">
        <v>7</v>
      </c>
      <c r="B11" s="6" t="s">
        <v>100</v>
      </c>
      <c r="C11" s="6" t="s">
        <v>101</v>
      </c>
      <c r="D11" s="6" t="s">
        <v>130</v>
      </c>
      <c r="E11" s="6" t="s">
        <v>131</v>
      </c>
      <c r="F11" s="6" t="s">
        <v>132</v>
      </c>
      <c r="G11" s="6" t="n">
        <v>4</v>
      </c>
      <c r="H11" s="6" t="s">
        <v>133</v>
      </c>
      <c r="I11" s="6" t="s">
        <v>105</v>
      </c>
      <c r="J11" s="6" t="s">
        <v>106</v>
      </c>
      <c r="K11" s="6" t="s">
        <v>107</v>
      </c>
      <c r="L11" s="6"/>
      <c r="M11" s="6"/>
    </row>
    <row r="12" customFormat="false" ht="45" hidden="false" customHeight="true" outlineLevel="0" collapsed="false">
      <c r="A12" s="6" t="n">
        <v>8</v>
      </c>
      <c r="B12" s="6" t="s">
        <v>100</v>
      </c>
      <c r="C12" s="6" t="s">
        <v>101</v>
      </c>
      <c r="D12" s="6" t="s">
        <v>134</v>
      </c>
      <c r="E12" s="6" t="s">
        <v>135</v>
      </c>
      <c r="F12" s="6" t="s">
        <v>136</v>
      </c>
      <c r="G12" s="6" t="n">
        <v>1</v>
      </c>
      <c r="H12" s="6" t="s">
        <v>137</v>
      </c>
      <c r="I12" s="6" t="s">
        <v>105</v>
      </c>
      <c r="J12" s="6" t="s">
        <v>106</v>
      </c>
      <c r="K12" s="6" t="s">
        <v>107</v>
      </c>
      <c r="L12" s="6"/>
      <c r="M12" s="6"/>
    </row>
    <row r="13" customFormat="false" ht="45" hidden="false" customHeight="true" outlineLevel="0" collapsed="false">
      <c r="A13" s="6" t="n">
        <v>9</v>
      </c>
      <c r="B13" s="6" t="s">
        <v>100</v>
      </c>
      <c r="C13" s="6" t="s">
        <v>101</v>
      </c>
      <c r="D13" s="6" t="s">
        <v>138</v>
      </c>
      <c r="E13" s="6" t="s">
        <v>139</v>
      </c>
      <c r="F13" s="6" t="s">
        <v>140</v>
      </c>
      <c r="G13" s="6" t="n">
        <v>1</v>
      </c>
      <c r="H13" s="6" t="s">
        <v>111</v>
      </c>
      <c r="I13" s="6" t="s">
        <v>105</v>
      </c>
      <c r="J13" s="6" t="s">
        <v>106</v>
      </c>
      <c r="K13" s="6" t="s">
        <v>100</v>
      </c>
      <c r="L13" s="6" t="s">
        <v>141</v>
      </c>
      <c r="M13" s="6"/>
    </row>
    <row r="14" customFormat="false" ht="45" hidden="false" customHeight="true" outlineLevel="0" collapsed="false">
      <c r="A14" s="6" t="n">
        <v>10</v>
      </c>
      <c r="B14" s="6" t="s">
        <v>100</v>
      </c>
      <c r="C14" s="6" t="s">
        <v>142</v>
      </c>
      <c r="D14" s="6" t="s">
        <v>49</v>
      </c>
      <c r="E14" s="6" t="s">
        <v>143</v>
      </c>
      <c r="F14" s="6" t="s">
        <v>144</v>
      </c>
      <c r="G14" s="6" t="n">
        <v>1</v>
      </c>
      <c r="H14" s="6" t="s">
        <v>145</v>
      </c>
      <c r="I14" s="6" t="s">
        <v>105</v>
      </c>
      <c r="J14" s="6" t="s">
        <v>129</v>
      </c>
      <c r="K14" s="6" t="s">
        <v>107</v>
      </c>
      <c r="L14" s="6" t="s">
        <v>146</v>
      </c>
      <c r="M14" s="6"/>
    </row>
    <row r="15" customFormat="false" ht="45" hidden="false" customHeight="true" outlineLevel="0" collapsed="false">
      <c r="A15" s="6" t="n">
        <v>11</v>
      </c>
      <c r="B15" s="6" t="s">
        <v>147</v>
      </c>
      <c r="C15" s="6" t="s">
        <v>148</v>
      </c>
      <c r="D15" s="6" t="s">
        <v>49</v>
      </c>
      <c r="E15" s="6" t="s">
        <v>149</v>
      </c>
      <c r="F15" s="6" t="s">
        <v>150</v>
      </c>
      <c r="G15" s="6" t="n">
        <v>2</v>
      </c>
      <c r="H15" s="6" t="s">
        <v>104</v>
      </c>
      <c r="I15" s="6" t="s">
        <v>105</v>
      </c>
      <c r="J15" s="6" t="s">
        <v>106</v>
      </c>
      <c r="K15" s="6" t="s">
        <v>107</v>
      </c>
      <c r="L15" s="6" t="s">
        <v>151</v>
      </c>
      <c r="M15" s="6"/>
    </row>
    <row r="16" customFormat="false" ht="45" hidden="false" customHeight="true" outlineLevel="0" collapsed="false">
      <c r="A16" s="6" t="n">
        <v>12</v>
      </c>
      <c r="B16" s="6" t="s">
        <v>147</v>
      </c>
      <c r="C16" s="6" t="s">
        <v>148</v>
      </c>
      <c r="D16" s="6" t="s">
        <v>120</v>
      </c>
      <c r="E16" s="6" t="s">
        <v>152</v>
      </c>
      <c r="F16" s="6" t="s">
        <v>153</v>
      </c>
      <c r="G16" s="6" t="n">
        <v>1</v>
      </c>
      <c r="H16" s="6" t="s">
        <v>120</v>
      </c>
      <c r="I16" s="6" t="s">
        <v>105</v>
      </c>
      <c r="J16" s="6" t="s">
        <v>106</v>
      </c>
      <c r="K16" s="6" t="s">
        <v>123</v>
      </c>
      <c r="L16" s="6" t="s">
        <v>124</v>
      </c>
      <c r="M16" s="6"/>
    </row>
    <row r="17" customFormat="false" ht="45" hidden="false" customHeight="true" outlineLevel="0" collapsed="false">
      <c r="A17" s="6" t="n">
        <v>13</v>
      </c>
      <c r="B17" s="6" t="s">
        <v>147</v>
      </c>
      <c r="C17" s="6" t="s">
        <v>148</v>
      </c>
      <c r="D17" s="6" t="s">
        <v>125</v>
      </c>
      <c r="E17" s="6" t="s">
        <v>154</v>
      </c>
      <c r="F17" s="6" t="s">
        <v>155</v>
      </c>
      <c r="G17" s="6" t="n">
        <v>1</v>
      </c>
      <c r="H17" s="6" t="s">
        <v>156</v>
      </c>
      <c r="I17" s="6" t="s">
        <v>105</v>
      </c>
      <c r="J17" s="6" t="s">
        <v>106</v>
      </c>
      <c r="K17" s="6" t="s">
        <v>107</v>
      </c>
      <c r="L17" s="6" t="s">
        <v>157</v>
      </c>
      <c r="M17" s="6"/>
    </row>
    <row r="18" customFormat="false" ht="45" hidden="false" customHeight="true" outlineLevel="0" collapsed="false">
      <c r="A18" s="6" t="n">
        <v>14</v>
      </c>
      <c r="B18" s="6" t="s">
        <v>147</v>
      </c>
      <c r="C18" s="6" t="s">
        <v>148</v>
      </c>
      <c r="D18" s="6" t="s">
        <v>158</v>
      </c>
      <c r="E18" s="6" t="s">
        <v>159</v>
      </c>
      <c r="F18" s="6" t="s">
        <v>160</v>
      </c>
      <c r="G18" s="7" t="n">
        <v>1</v>
      </c>
      <c r="H18" s="6" t="s">
        <v>120</v>
      </c>
      <c r="I18" s="6" t="s">
        <v>105</v>
      </c>
      <c r="J18" s="6" t="s">
        <v>106</v>
      </c>
      <c r="K18" s="6" t="s">
        <v>161</v>
      </c>
      <c r="L18" s="6" t="s">
        <v>162</v>
      </c>
      <c r="M18" s="6"/>
    </row>
    <row r="19" customFormat="false" ht="45" hidden="false" customHeight="true" outlineLevel="0" collapsed="false">
      <c r="A19" s="6" t="n">
        <v>15</v>
      </c>
      <c r="B19" s="6" t="s">
        <v>147</v>
      </c>
      <c r="C19" s="6" t="s">
        <v>148</v>
      </c>
      <c r="D19" s="6" t="s">
        <v>158</v>
      </c>
      <c r="E19" s="6" t="s">
        <v>163</v>
      </c>
      <c r="F19" s="6" t="s">
        <v>164</v>
      </c>
      <c r="G19" s="6" t="n">
        <v>3</v>
      </c>
      <c r="H19" s="6" t="s">
        <v>120</v>
      </c>
      <c r="I19" s="6" t="s">
        <v>105</v>
      </c>
      <c r="J19" s="6" t="s">
        <v>106</v>
      </c>
      <c r="K19" s="6" t="s">
        <v>123</v>
      </c>
      <c r="L19" s="6"/>
      <c r="M19" s="6"/>
    </row>
    <row r="20" customFormat="false" ht="45" hidden="false" customHeight="true" outlineLevel="0" collapsed="false">
      <c r="A20" s="6" t="n">
        <v>16</v>
      </c>
      <c r="B20" s="6" t="s">
        <v>147</v>
      </c>
      <c r="C20" s="6" t="s">
        <v>148</v>
      </c>
      <c r="D20" s="6" t="s">
        <v>113</v>
      </c>
      <c r="E20" s="6" t="s">
        <v>165</v>
      </c>
      <c r="F20" s="6" t="s">
        <v>166</v>
      </c>
      <c r="G20" s="6" t="n">
        <v>1</v>
      </c>
      <c r="H20" s="6" t="s">
        <v>116</v>
      </c>
      <c r="I20" s="6" t="s">
        <v>105</v>
      </c>
      <c r="J20" s="6" t="s">
        <v>106</v>
      </c>
      <c r="K20" s="6" t="s">
        <v>107</v>
      </c>
      <c r="L20" s="6"/>
      <c r="M20" s="6"/>
    </row>
    <row r="21" customFormat="false" ht="45" hidden="false" customHeight="true" outlineLevel="0" collapsed="false">
      <c r="A21" s="6" t="n">
        <v>17</v>
      </c>
      <c r="B21" s="6" t="s">
        <v>147</v>
      </c>
      <c r="C21" s="6" t="s">
        <v>148</v>
      </c>
      <c r="D21" s="6" t="s">
        <v>113</v>
      </c>
      <c r="E21" s="6" t="s">
        <v>167</v>
      </c>
      <c r="F21" s="6" t="s">
        <v>168</v>
      </c>
      <c r="G21" s="6" t="n">
        <v>2</v>
      </c>
      <c r="H21" s="6" t="s">
        <v>119</v>
      </c>
      <c r="I21" s="6" t="s">
        <v>105</v>
      </c>
      <c r="J21" s="6" t="s">
        <v>106</v>
      </c>
      <c r="K21" s="6" t="s">
        <v>107</v>
      </c>
      <c r="L21" s="6"/>
      <c r="M21" s="6"/>
    </row>
    <row r="22" customFormat="false" ht="45" hidden="false" customHeight="true" outlineLevel="0" collapsed="false">
      <c r="A22" s="6" t="n">
        <v>18</v>
      </c>
      <c r="B22" s="6" t="s">
        <v>147</v>
      </c>
      <c r="C22" s="6" t="s">
        <v>148</v>
      </c>
      <c r="D22" s="6" t="s">
        <v>113</v>
      </c>
      <c r="E22" s="6" t="s">
        <v>169</v>
      </c>
      <c r="F22" s="6" t="s">
        <v>170</v>
      </c>
      <c r="G22" s="6" t="n">
        <v>6</v>
      </c>
      <c r="H22" s="6" t="s">
        <v>119</v>
      </c>
      <c r="I22" s="6" t="s">
        <v>105</v>
      </c>
      <c r="J22" s="6" t="s">
        <v>106</v>
      </c>
      <c r="K22" s="6" t="s">
        <v>107</v>
      </c>
      <c r="L22" s="6"/>
      <c r="M22" s="6"/>
    </row>
    <row r="23" customFormat="false" ht="45" hidden="false" customHeight="true" outlineLevel="0" collapsed="false">
      <c r="A23" s="6" t="n">
        <v>19</v>
      </c>
      <c r="B23" s="6" t="s">
        <v>147</v>
      </c>
      <c r="C23" s="6" t="s">
        <v>148</v>
      </c>
      <c r="D23" s="6" t="s">
        <v>130</v>
      </c>
      <c r="E23" s="6" t="s">
        <v>131</v>
      </c>
      <c r="F23" s="6" t="s">
        <v>171</v>
      </c>
      <c r="G23" s="6" t="n">
        <v>3</v>
      </c>
      <c r="H23" s="6" t="s">
        <v>133</v>
      </c>
      <c r="I23" s="6" t="s">
        <v>105</v>
      </c>
      <c r="J23" s="6" t="s">
        <v>106</v>
      </c>
      <c r="K23" s="6" t="s">
        <v>107</v>
      </c>
      <c r="L23" s="6"/>
      <c r="M23" s="6"/>
    </row>
    <row r="24" customFormat="false" ht="45" hidden="false" customHeight="true" outlineLevel="0" collapsed="false">
      <c r="A24" s="6" t="n">
        <v>20</v>
      </c>
      <c r="B24" s="6" t="s">
        <v>147</v>
      </c>
      <c r="C24" s="6" t="s">
        <v>148</v>
      </c>
      <c r="D24" s="6" t="s">
        <v>134</v>
      </c>
      <c r="E24" s="6" t="s">
        <v>172</v>
      </c>
      <c r="F24" s="6" t="s">
        <v>173</v>
      </c>
      <c r="G24" s="6" t="n">
        <v>1</v>
      </c>
      <c r="H24" s="6" t="s">
        <v>137</v>
      </c>
      <c r="I24" s="6" t="s">
        <v>105</v>
      </c>
      <c r="J24" s="6" t="s">
        <v>106</v>
      </c>
      <c r="K24" s="6" t="s">
        <v>107</v>
      </c>
      <c r="L24" s="6"/>
      <c r="M24" s="6"/>
    </row>
    <row r="25" customFormat="false" ht="45" hidden="false" customHeight="true" outlineLevel="0" collapsed="false">
      <c r="A25" s="6" t="n">
        <v>21</v>
      </c>
      <c r="B25" s="6" t="s">
        <v>147</v>
      </c>
      <c r="C25" s="6" t="s">
        <v>148</v>
      </c>
      <c r="D25" s="6" t="s">
        <v>174</v>
      </c>
      <c r="E25" s="6" t="s">
        <v>175</v>
      </c>
      <c r="F25" s="6" t="s">
        <v>176</v>
      </c>
      <c r="G25" s="6" t="n">
        <v>1</v>
      </c>
      <c r="H25" s="6" t="s">
        <v>111</v>
      </c>
      <c r="I25" s="6" t="s">
        <v>105</v>
      </c>
      <c r="J25" s="6" t="s">
        <v>106</v>
      </c>
      <c r="K25" s="6" t="s">
        <v>177</v>
      </c>
      <c r="L25" s="6"/>
      <c r="M25" s="6"/>
    </row>
    <row r="26" customFormat="false" ht="45" hidden="false" customHeight="true" outlineLevel="0" collapsed="false">
      <c r="A26" s="6" t="n">
        <v>22</v>
      </c>
      <c r="B26" s="6" t="s">
        <v>147</v>
      </c>
      <c r="C26" s="6" t="s">
        <v>178</v>
      </c>
      <c r="D26" s="6" t="s">
        <v>49</v>
      </c>
      <c r="E26" s="6" t="s">
        <v>179</v>
      </c>
      <c r="F26" s="6" t="s">
        <v>180</v>
      </c>
      <c r="G26" s="6" t="n">
        <v>1</v>
      </c>
      <c r="H26" s="6" t="s">
        <v>145</v>
      </c>
      <c r="I26" s="6" t="s">
        <v>181</v>
      </c>
      <c r="J26" s="6" t="s">
        <v>106</v>
      </c>
      <c r="K26" s="6" t="s">
        <v>107</v>
      </c>
      <c r="L26" s="6" t="s">
        <v>182</v>
      </c>
      <c r="M26" s="6"/>
    </row>
    <row r="27" customFormat="false" ht="45" hidden="false" customHeight="true" outlineLevel="0" collapsed="false">
      <c r="A27" s="6" t="n">
        <v>23</v>
      </c>
      <c r="B27" s="6" t="s">
        <v>147</v>
      </c>
      <c r="C27" s="6" t="s">
        <v>178</v>
      </c>
      <c r="D27" s="6" t="s">
        <v>113</v>
      </c>
      <c r="E27" s="6" t="s">
        <v>183</v>
      </c>
      <c r="F27" s="6" t="s">
        <v>184</v>
      </c>
      <c r="G27" s="6" t="n">
        <v>4</v>
      </c>
      <c r="H27" s="6" t="s">
        <v>116</v>
      </c>
      <c r="I27" s="6" t="s">
        <v>185</v>
      </c>
      <c r="J27" s="6" t="s">
        <v>106</v>
      </c>
      <c r="K27" s="6" t="s">
        <v>107</v>
      </c>
      <c r="L27" s="6"/>
      <c r="M27" s="6"/>
    </row>
    <row r="28" customFormat="false" ht="45" hidden="false" customHeight="true" outlineLevel="0" collapsed="false">
      <c r="A28" s="6" t="n">
        <v>24</v>
      </c>
      <c r="B28" s="6" t="s">
        <v>147</v>
      </c>
      <c r="C28" s="6" t="s">
        <v>178</v>
      </c>
      <c r="D28" s="6" t="s">
        <v>113</v>
      </c>
      <c r="E28" s="6" t="s">
        <v>117</v>
      </c>
      <c r="F28" s="6" t="s">
        <v>186</v>
      </c>
      <c r="G28" s="7" t="n">
        <v>14</v>
      </c>
      <c r="H28" s="6" t="s">
        <v>119</v>
      </c>
      <c r="I28" s="6" t="s">
        <v>185</v>
      </c>
      <c r="J28" s="6" t="s">
        <v>106</v>
      </c>
      <c r="K28" s="6" t="s">
        <v>107</v>
      </c>
      <c r="L28" s="6"/>
      <c r="M28" s="6"/>
    </row>
    <row r="29" customFormat="false" ht="45" hidden="false" customHeight="true" outlineLevel="0" collapsed="false">
      <c r="A29" s="6" t="n">
        <v>25</v>
      </c>
      <c r="B29" s="6" t="s">
        <v>147</v>
      </c>
      <c r="C29" s="6" t="s">
        <v>178</v>
      </c>
      <c r="D29" s="6" t="s">
        <v>187</v>
      </c>
      <c r="E29" s="6" t="s">
        <v>188</v>
      </c>
      <c r="F29" s="6" t="s">
        <v>189</v>
      </c>
      <c r="G29" s="6" t="n">
        <v>2</v>
      </c>
      <c r="H29" s="6" t="s">
        <v>120</v>
      </c>
      <c r="I29" s="6" t="s">
        <v>185</v>
      </c>
      <c r="J29" s="6" t="s">
        <v>106</v>
      </c>
      <c r="K29" s="6" t="s">
        <v>123</v>
      </c>
      <c r="L29" s="6"/>
      <c r="M29" s="6"/>
    </row>
    <row r="30" customFormat="false" ht="45" hidden="false" customHeight="true" outlineLevel="0" collapsed="false">
      <c r="A30" s="6" t="n">
        <v>26</v>
      </c>
      <c r="B30" s="6" t="s">
        <v>147</v>
      </c>
      <c r="C30" s="6" t="s">
        <v>178</v>
      </c>
      <c r="D30" s="6" t="s">
        <v>190</v>
      </c>
      <c r="E30" s="6" t="s">
        <v>191</v>
      </c>
      <c r="F30" s="6" t="s">
        <v>192</v>
      </c>
      <c r="G30" s="6" t="n">
        <v>1</v>
      </c>
      <c r="H30" s="6" t="s">
        <v>111</v>
      </c>
      <c r="I30" s="6" t="s">
        <v>185</v>
      </c>
      <c r="J30" s="6" t="s">
        <v>106</v>
      </c>
      <c r="K30" s="6" t="s">
        <v>107</v>
      </c>
      <c r="L30" s="6"/>
      <c r="M30" s="6"/>
    </row>
    <row r="31" customFormat="false" ht="45" hidden="false" customHeight="true" outlineLevel="0" collapsed="false">
      <c r="A31" s="6" t="n">
        <v>27</v>
      </c>
      <c r="B31" s="6" t="s">
        <v>26</v>
      </c>
      <c r="C31" s="6" t="s">
        <v>193</v>
      </c>
      <c r="D31" s="6" t="s">
        <v>125</v>
      </c>
      <c r="E31" s="6" t="s">
        <v>194</v>
      </c>
      <c r="F31" s="6" t="s">
        <v>195</v>
      </c>
      <c r="G31" s="6" t="n">
        <v>1</v>
      </c>
      <c r="H31" s="6" t="s">
        <v>196</v>
      </c>
      <c r="I31" s="6" t="s">
        <v>105</v>
      </c>
      <c r="J31" s="6" t="s">
        <v>106</v>
      </c>
      <c r="K31" s="6" t="s">
        <v>107</v>
      </c>
      <c r="L31" s="6" t="s">
        <v>197</v>
      </c>
      <c r="M31" s="6"/>
    </row>
    <row r="32" customFormat="false" ht="45" hidden="false" customHeight="true" outlineLevel="0" collapsed="false">
      <c r="A32" s="6" t="n">
        <v>28</v>
      </c>
      <c r="B32" s="6" t="s">
        <v>26</v>
      </c>
      <c r="C32" s="6" t="s">
        <v>193</v>
      </c>
      <c r="D32" s="6" t="s">
        <v>198</v>
      </c>
      <c r="E32" s="6" t="s">
        <v>199</v>
      </c>
      <c r="F32" s="6" t="s">
        <v>200</v>
      </c>
      <c r="G32" s="6" t="n">
        <v>1</v>
      </c>
      <c r="H32" s="6" t="s">
        <v>111</v>
      </c>
      <c r="I32" s="6" t="s">
        <v>105</v>
      </c>
      <c r="J32" s="6" t="s">
        <v>106</v>
      </c>
      <c r="K32" s="6" t="s">
        <v>107</v>
      </c>
      <c r="L32" s="6"/>
      <c r="M32" s="6"/>
    </row>
    <row r="33" customFormat="false" ht="45" hidden="false" customHeight="true" outlineLevel="0" collapsed="false">
      <c r="A33" s="6" t="n">
        <v>29</v>
      </c>
      <c r="B33" s="6" t="s">
        <v>26</v>
      </c>
      <c r="C33" s="6" t="s">
        <v>193</v>
      </c>
      <c r="D33" s="6" t="s">
        <v>174</v>
      </c>
      <c r="E33" s="6" t="s">
        <v>201</v>
      </c>
      <c r="F33" s="6" t="s">
        <v>202</v>
      </c>
      <c r="G33" s="6" t="n">
        <v>1</v>
      </c>
      <c r="H33" s="6" t="s">
        <v>111</v>
      </c>
      <c r="I33" s="6" t="s">
        <v>105</v>
      </c>
      <c r="J33" s="6" t="s">
        <v>106</v>
      </c>
      <c r="K33" s="6" t="s">
        <v>27</v>
      </c>
      <c r="L33" s="6"/>
      <c r="M33" s="6"/>
    </row>
    <row r="34" customFormat="false" ht="45" hidden="false" customHeight="true" outlineLevel="0" collapsed="false">
      <c r="A34" s="6" t="n">
        <v>30</v>
      </c>
      <c r="B34" s="6" t="s">
        <v>26</v>
      </c>
      <c r="C34" s="6" t="s">
        <v>193</v>
      </c>
      <c r="D34" s="6" t="s">
        <v>174</v>
      </c>
      <c r="E34" s="6" t="s">
        <v>203</v>
      </c>
      <c r="F34" s="6" t="s">
        <v>204</v>
      </c>
      <c r="G34" s="6" t="n">
        <v>1</v>
      </c>
      <c r="H34" s="6" t="s">
        <v>111</v>
      </c>
      <c r="I34" s="6" t="s">
        <v>105</v>
      </c>
      <c r="J34" s="6" t="s">
        <v>129</v>
      </c>
      <c r="K34" s="6" t="s">
        <v>205</v>
      </c>
      <c r="L34" s="6" t="s">
        <v>206</v>
      </c>
      <c r="M34" s="6"/>
    </row>
    <row r="35" customFormat="false" ht="45" hidden="false" customHeight="true" outlineLevel="0" collapsed="false">
      <c r="A35" s="6" t="n">
        <v>31</v>
      </c>
      <c r="B35" s="6" t="s">
        <v>26</v>
      </c>
      <c r="C35" s="6" t="s">
        <v>193</v>
      </c>
      <c r="D35" s="6" t="s">
        <v>134</v>
      </c>
      <c r="E35" s="6" t="s">
        <v>207</v>
      </c>
      <c r="F35" s="6" t="s">
        <v>208</v>
      </c>
      <c r="G35" s="6" t="n">
        <v>1</v>
      </c>
      <c r="H35" s="6" t="s">
        <v>137</v>
      </c>
      <c r="I35" s="6" t="s">
        <v>105</v>
      </c>
      <c r="J35" s="6" t="s">
        <v>106</v>
      </c>
      <c r="K35" s="6" t="s">
        <v>107</v>
      </c>
      <c r="L35" s="6"/>
      <c r="M35" s="6"/>
    </row>
    <row r="36" customFormat="false" ht="45" hidden="false" customHeight="true" outlineLevel="0" collapsed="false">
      <c r="A36" s="6" t="n">
        <v>32</v>
      </c>
      <c r="B36" s="6" t="s">
        <v>26</v>
      </c>
      <c r="C36" s="6" t="s">
        <v>193</v>
      </c>
      <c r="D36" s="6" t="s">
        <v>130</v>
      </c>
      <c r="E36" s="6" t="s">
        <v>131</v>
      </c>
      <c r="F36" s="6" t="s">
        <v>209</v>
      </c>
      <c r="G36" s="6" t="n">
        <v>3</v>
      </c>
      <c r="H36" s="6" t="s">
        <v>133</v>
      </c>
      <c r="I36" s="6" t="s">
        <v>105</v>
      </c>
      <c r="J36" s="6" t="s">
        <v>106</v>
      </c>
      <c r="K36" s="6" t="s">
        <v>107</v>
      </c>
      <c r="L36" s="6"/>
      <c r="M36" s="6"/>
    </row>
    <row r="37" customFormat="false" ht="45" hidden="false" customHeight="true" outlineLevel="0" collapsed="false">
      <c r="A37" s="6" t="n">
        <v>33</v>
      </c>
      <c r="B37" s="6" t="s">
        <v>210</v>
      </c>
      <c r="C37" s="6" t="s">
        <v>211</v>
      </c>
      <c r="D37" s="6" t="s">
        <v>212</v>
      </c>
      <c r="E37" s="6" t="s">
        <v>213</v>
      </c>
      <c r="F37" s="6" t="s">
        <v>214</v>
      </c>
      <c r="G37" s="6" t="n">
        <v>1</v>
      </c>
      <c r="H37" s="6" t="s">
        <v>111</v>
      </c>
      <c r="I37" s="6" t="s">
        <v>215</v>
      </c>
      <c r="J37" s="6" t="s">
        <v>106</v>
      </c>
      <c r="K37" s="6" t="s">
        <v>216</v>
      </c>
      <c r="L37" s="6" t="s">
        <v>217</v>
      </c>
      <c r="M37" s="6"/>
    </row>
    <row r="38" customFormat="false" ht="45" hidden="false" customHeight="true" outlineLevel="0" collapsed="false">
      <c r="A38" s="6" t="n">
        <v>34</v>
      </c>
      <c r="B38" s="6" t="s">
        <v>210</v>
      </c>
      <c r="C38" s="6" t="s">
        <v>218</v>
      </c>
      <c r="D38" s="6" t="s">
        <v>125</v>
      </c>
      <c r="E38" s="6" t="s">
        <v>219</v>
      </c>
      <c r="F38" s="6" t="s">
        <v>220</v>
      </c>
      <c r="G38" s="6" t="n">
        <v>1</v>
      </c>
      <c r="H38" s="6" t="s">
        <v>221</v>
      </c>
      <c r="I38" s="6" t="s">
        <v>105</v>
      </c>
      <c r="J38" s="6" t="s">
        <v>129</v>
      </c>
      <c r="K38" s="6" t="s">
        <v>107</v>
      </c>
      <c r="L38" s="6"/>
      <c r="M38" s="6"/>
    </row>
    <row r="39" customFormat="false" ht="45" hidden="false" customHeight="true" outlineLevel="0" collapsed="false">
      <c r="A39" s="6" t="n">
        <v>35</v>
      </c>
      <c r="B39" s="6" t="s">
        <v>210</v>
      </c>
      <c r="C39" s="6" t="s">
        <v>218</v>
      </c>
      <c r="D39" s="6" t="s">
        <v>130</v>
      </c>
      <c r="E39" s="6" t="s">
        <v>133</v>
      </c>
      <c r="F39" s="6" t="s">
        <v>222</v>
      </c>
      <c r="G39" s="6" t="n">
        <v>1</v>
      </c>
      <c r="H39" s="6" t="s">
        <v>133</v>
      </c>
      <c r="I39" s="6" t="s">
        <v>105</v>
      </c>
      <c r="J39" s="6" t="s">
        <v>129</v>
      </c>
      <c r="K39" s="6" t="s">
        <v>107</v>
      </c>
      <c r="L39" s="6"/>
      <c r="M39" s="6"/>
    </row>
    <row r="40" customFormat="false" ht="45" hidden="false" customHeight="true" outlineLevel="0" collapsed="false">
      <c r="A40" s="6" t="n">
        <v>36</v>
      </c>
      <c r="B40" s="6" t="s">
        <v>223</v>
      </c>
      <c r="C40" s="6" t="s">
        <v>224</v>
      </c>
      <c r="D40" s="6" t="s">
        <v>113</v>
      </c>
      <c r="E40" s="6" t="s">
        <v>225</v>
      </c>
      <c r="F40" s="6" t="s">
        <v>226</v>
      </c>
      <c r="G40" s="7" t="n">
        <v>15</v>
      </c>
      <c r="H40" s="6" t="s">
        <v>116</v>
      </c>
      <c r="I40" s="6" t="s">
        <v>105</v>
      </c>
      <c r="J40" s="6" t="s">
        <v>106</v>
      </c>
      <c r="K40" s="6" t="s">
        <v>107</v>
      </c>
      <c r="L40" s="6" t="s">
        <v>227</v>
      </c>
      <c r="M40" s="6"/>
    </row>
    <row r="41" customFormat="false" ht="45" hidden="false" customHeight="true" outlineLevel="0" collapsed="false">
      <c r="A41" s="6" t="n">
        <v>37</v>
      </c>
      <c r="B41" s="6" t="s">
        <v>223</v>
      </c>
      <c r="C41" s="6" t="s">
        <v>224</v>
      </c>
      <c r="D41" s="6" t="s">
        <v>113</v>
      </c>
      <c r="E41" s="6" t="s">
        <v>228</v>
      </c>
      <c r="F41" s="6" t="s">
        <v>229</v>
      </c>
      <c r="G41" s="7" t="n">
        <v>60</v>
      </c>
      <c r="H41" s="6" t="s">
        <v>119</v>
      </c>
      <c r="I41" s="6" t="s">
        <v>105</v>
      </c>
      <c r="J41" s="6" t="s">
        <v>106</v>
      </c>
      <c r="K41" s="6" t="s">
        <v>107</v>
      </c>
      <c r="L41" s="6" t="s">
        <v>230</v>
      </c>
      <c r="M41" s="6"/>
    </row>
    <row r="42" customFormat="false" ht="45" hidden="false" customHeight="true" outlineLevel="0" collapsed="false">
      <c r="A42" s="6" t="n">
        <v>38</v>
      </c>
      <c r="B42" s="6" t="s">
        <v>223</v>
      </c>
      <c r="C42" s="6" t="s">
        <v>224</v>
      </c>
      <c r="D42" s="6" t="s">
        <v>130</v>
      </c>
      <c r="E42" s="6" t="s">
        <v>231</v>
      </c>
      <c r="F42" s="6" t="s">
        <v>232</v>
      </c>
      <c r="G42" s="7" t="n">
        <v>15</v>
      </c>
      <c r="H42" s="6" t="s">
        <v>133</v>
      </c>
      <c r="I42" s="6" t="s">
        <v>105</v>
      </c>
      <c r="J42" s="6" t="s">
        <v>106</v>
      </c>
      <c r="K42" s="6" t="s">
        <v>107</v>
      </c>
      <c r="L42" s="6" t="s">
        <v>233</v>
      </c>
      <c r="M42" s="6"/>
    </row>
    <row r="43" customFormat="false" ht="45" hidden="false" customHeight="true" outlineLevel="0" collapsed="false">
      <c r="A43" s="6" t="n">
        <v>39</v>
      </c>
      <c r="B43" s="6" t="s">
        <v>223</v>
      </c>
      <c r="C43" s="6" t="s">
        <v>224</v>
      </c>
      <c r="D43" s="6" t="s">
        <v>134</v>
      </c>
      <c r="E43" s="6" t="s">
        <v>234</v>
      </c>
      <c r="F43" s="6" t="s">
        <v>235</v>
      </c>
      <c r="G43" s="7" t="n">
        <v>1</v>
      </c>
      <c r="H43" s="6" t="s">
        <v>137</v>
      </c>
      <c r="I43" s="6" t="s">
        <v>105</v>
      </c>
      <c r="J43" s="6" t="s">
        <v>106</v>
      </c>
      <c r="K43" s="6" t="s">
        <v>107</v>
      </c>
      <c r="L43" s="6" t="s">
        <v>230</v>
      </c>
      <c r="M43" s="6"/>
    </row>
    <row r="44" customFormat="false" ht="45" hidden="false" customHeight="true" outlineLevel="0" collapsed="false">
      <c r="A44" s="6" t="n">
        <v>40</v>
      </c>
      <c r="B44" s="6" t="s">
        <v>223</v>
      </c>
      <c r="C44" s="6" t="s">
        <v>224</v>
      </c>
      <c r="D44" s="6" t="s">
        <v>125</v>
      </c>
      <c r="E44" s="6" t="s">
        <v>236</v>
      </c>
      <c r="F44" s="6" t="s">
        <v>237</v>
      </c>
      <c r="G44" s="6" t="n">
        <v>1</v>
      </c>
      <c r="H44" s="6" t="s">
        <v>238</v>
      </c>
      <c r="I44" s="6" t="s">
        <v>239</v>
      </c>
      <c r="J44" s="6" t="s">
        <v>106</v>
      </c>
      <c r="K44" s="6" t="s">
        <v>107</v>
      </c>
      <c r="L44" s="6"/>
      <c r="M44" s="6"/>
    </row>
    <row r="45" customFormat="false" ht="45" hidden="false" customHeight="true" outlineLevel="0" collapsed="false">
      <c r="A45" s="6" t="n">
        <v>41</v>
      </c>
      <c r="B45" s="6" t="s">
        <v>223</v>
      </c>
      <c r="C45" s="6" t="s">
        <v>224</v>
      </c>
      <c r="D45" s="6" t="s">
        <v>138</v>
      </c>
      <c r="E45" s="6" t="s">
        <v>240</v>
      </c>
      <c r="F45" s="6" t="s">
        <v>241</v>
      </c>
      <c r="G45" s="6" t="n">
        <v>1</v>
      </c>
      <c r="H45" s="6" t="s">
        <v>111</v>
      </c>
      <c r="I45" s="6" t="s">
        <v>239</v>
      </c>
      <c r="J45" s="6" t="s">
        <v>106</v>
      </c>
      <c r="K45" s="6" t="s">
        <v>107</v>
      </c>
      <c r="L45" s="6"/>
      <c r="M45" s="6"/>
    </row>
    <row r="46" customFormat="false" ht="45" hidden="false" customHeight="true" outlineLevel="0" collapsed="false">
      <c r="A46" s="6" t="n">
        <v>42</v>
      </c>
      <c r="B46" s="6" t="s">
        <v>223</v>
      </c>
      <c r="C46" s="6" t="s">
        <v>242</v>
      </c>
      <c r="D46" s="6" t="s">
        <v>125</v>
      </c>
      <c r="E46" s="6" t="s">
        <v>243</v>
      </c>
      <c r="F46" s="6" t="s">
        <v>244</v>
      </c>
      <c r="G46" s="6" t="n">
        <v>1</v>
      </c>
      <c r="H46" s="6" t="s">
        <v>238</v>
      </c>
      <c r="I46" s="6" t="s">
        <v>85</v>
      </c>
      <c r="J46" s="6" t="s">
        <v>106</v>
      </c>
      <c r="K46" s="6" t="s">
        <v>107</v>
      </c>
      <c r="L46" s="6"/>
      <c r="M46" s="6"/>
    </row>
    <row r="47" customFormat="false" ht="45" hidden="false" customHeight="true" outlineLevel="0" collapsed="false">
      <c r="A47" s="6" t="n">
        <v>43</v>
      </c>
      <c r="B47" s="6" t="s">
        <v>223</v>
      </c>
      <c r="C47" s="6" t="s">
        <v>242</v>
      </c>
      <c r="D47" s="6" t="s">
        <v>138</v>
      </c>
      <c r="E47" s="6" t="s">
        <v>245</v>
      </c>
      <c r="F47" s="6" t="s">
        <v>246</v>
      </c>
      <c r="G47" s="6" t="n">
        <v>1</v>
      </c>
      <c r="H47" s="6" t="s">
        <v>111</v>
      </c>
      <c r="I47" s="6" t="s">
        <v>85</v>
      </c>
      <c r="J47" s="6" t="s">
        <v>106</v>
      </c>
      <c r="K47" s="6" t="s">
        <v>107</v>
      </c>
      <c r="L47" s="6" t="s">
        <v>247</v>
      </c>
      <c r="M47" s="6"/>
    </row>
    <row r="48" customFormat="false" ht="45" hidden="false" customHeight="true" outlineLevel="0" collapsed="false">
      <c r="A48" s="6" t="n">
        <v>44</v>
      </c>
      <c r="B48" s="6" t="s">
        <v>223</v>
      </c>
      <c r="C48" s="6" t="s">
        <v>242</v>
      </c>
      <c r="D48" s="6" t="s">
        <v>49</v>
      </c>
      <c r="E48" s="6" t="s">
        <v>248</v>
      </c>
      <c r="F48" s="6" t="s">
        <v>249</v>
      </c>
      <c r="G48" s="6" t="n">
        <v>1</v>
      </c>
      <c r="H48" s="6" t="s">
        <v>111</v>
      </c>
      <c r="I48" s="6" t="s">
        <v>85</v>
      </c>
      <c r="J48" s="6" t="s">
        <v>106</v>
      </c>
      <c r="K48" s="6" t="s">
        <v>107</v>
      </c>
      <c r="L48" s="6"/>
      <c r="M48" s="6"/>
    </row>
    <row r="49" customFormat="false" ht="45" hidden="false" customHeight="true" outlineLevel="0" collapsed="false">
      <c r="A49" s="6" t="n">
        <v>45</v>
      </c>
      <c r="B49" s="6" t="s">
        <v>223</v>
      </c>
      <c r="C49" s="6" t="s">
        <v>242</v>
      </c>
      <c r="D49" s="6" t="s">
        <v>113</v>
      </c>
      <c r="E49" s="6" t="s">
        <v>250</v>
      </c>
      <c r="F49" s="6" t="s">
        <v>251</v>
      </c>
      <c r="G49" s="7" t="n">
        <v>5</v>
      </c>
      <c r="H49" s="6" t="s">
        <v>116</v>
      </c>
      <c r="I49" s="6" t="s">
        <v>85</v>
      </c>
      <c r="J49" s="6" t="s">
        <v>106</v>
      </c>
      <c r="K49" s="6" t="s">
        <v>107</v>
      </c>
      <c r="L49" s="6" t="s">
        <v>252</v>
      </c>
      <c r="M49" s="6"/>
    </row>
    <row r="50" customFormat="false" ht="45" hidden="false" customHeight="true" outlineLevel="0" collapsed="false">
      <c r="A50" s="6" t="n">
        <v>46</v>
      </c>
      <c r="B50" s="6" t="s">
        <v>223</v>
      </c>
      <c r="C50" s="6" t="s">
        <v>242</v>
      </c>
      <c r="D50" s="6" t="s">
        <v>113</v>
      </c>
      <c r="E50" s="6" t="s">
        <v>253</v>
      </c>
      <c r="F50" s="6" t="s">
        <v>254</v>
      </c>
      <c r="G50" s="6" t="n">
        <v>1</v>
      </c>
      <c r="H50" s="6" t="s">
        <v>116</v>
      </c>
      <c r="I50" s="6" t="s">
        <v>85</v>
      </c>
      <c r="J50" s="6" t="s">
        <v>106</v>
      </c>
      <c r="K50" s="6" t="s">
        <v>107</v>
      </c>
      <c r="L50" s="6" t="s">
        <v>255</v>
      </c>
      <c r="M50" s="6"/>
    </row>
    <row r="51" customFormat="false" ht="45" hidden="false" customHeight="true" outlineLevel="0" collapsed="false">
      <c r="A51" s="6" t="n">
        <v>47</v>
      </c>
      <c r="B51" s="6" t="s">
        <v>223</v>
      </c>
      <c r="C51" s="6" t="s">
        <v>242</v>
      </c>
      <c r="D51" s="6" t="s">
        <v>113</v>
      </c>
      <c r="E51" s="6" t="s">
        <v>256</v>
      </c>
      <c r="F51" s="6" t="s">
        <v>257</v>
      </c>
      <c r="G51" s="6" t="n">
        <v>5</v>
      </c>
      <c r="H51" s="6" t="s">
        <v>119</v>
      </c>
      <c r="I51" s="6" t="s">
        <v>85</v>
      </c>
      <c r="J51" s="6" t="s">
        <v>106</v>
      </c>
      <c r="K51" s="6" t="s">
        <v>107</v>
      </c>
      <c r="L51" s="6"/>
      <c r="M51" s="6"/>
    </row>
    <row r="52" customFormat="false" ht="45" hidden="false" customHeight="true" outlineLevel="0" collapsed="false">
      <c r="A52" s="6" t="n">
        <v>48</v>
      </c>
      <c r="B52" s="6" t="s">
        <v>223</v>
      </c>
      <c r="C52" s="6" t="s">
        <v>242</v>
      </c>
      <c r="D52" s="6" t="s">
        <v>113</v>
      </c>
      <c r="E52" s="6" t="s">
        <v>258</v>
      </c>
      <c r="F52" s="6" t="s">
        <v>259</v>
      </c>
      <c r="G52" s="7" t="n">
        <v>80</v>
      </c>
      <c r="H52" s="6" t="s">
        <v>119</v>
      </c>
      <c r="I52" s="6" t="s">
        <v>85</v>
      </c>
      <c r="J52" s="6" t="s">
        <v>106</v>
      </c>
      <c r="K52" s="6" t="s">
        <v>107</v>
      </c>
      <c r="L52" s="6" t="s">
        <v>260</v>
      </c>
      <c r="M52" s="6"/>
    </row>
    <row r="53" customFormat="false" ht="45" hidden="false" customHeight="true" outlineLevel="0" collapsed="false">
      <c r="A53" s="6" t="n">
        <v>49</v>
      </c>
      <c r="B53" s="6" t="s">
        <v>223</v>
      </c>
      <c r="C53" s="6" t="s">
        <v>242</v>
      </c>
      <c r="D53" s="6" t="s">
        <v>261</v>
      </c>
      <c r="E53" s="6" t="s">
        <v>262</v>
      </c>
      <c r="F53" s="6" t="s">
        <v>263</v>
      </c>
      <c r="G53" s="6" t="n">
        <v>1</v>
      </c>
      <c r="H53" s="6" t="s">
        <v>111</v>
      </c>
      <c r="I53" s="6" t="s">
        <v>85</v>
      </c>
      <c r="J53" s="6" t="s">
        <v>106</v>
      </c>
      <c r="K53" s="6" t="s">
        <v>107</v>
      </c>
      <c r="L53" s="6" t="s">
        <v>264</v>
      </c>
      <c r="M53" s="6"/>
    </row>
    <row r="54" customFormat="false" ht="45" hidden="false" customHeight="true" outlineLevel="0" collapsed="false">
      <c r="A54" s="6" t="n">
        <v>50</v>
      </c>
      <c r="B54" s="6" t="s">
        <v>265</v>
      </c>
      <c r="C54" s="6" t="s">
        <v>266</v>
      </c>
      <c r="D54" s="6" t="s">
        <v>267</v>
      </c>
      <c r="E54" s="6" t="s">
        <v>268</v>
      </c>
      <c r="F54" s="6" t="s">
        <v>269</v>
      </c>
      <c r="G54" s="6" t="n">
        <v>1</v>
      </c>
      <c r="H54" s="6" t="s">
        <v>111</v>
      </c>
      <c r="I54" s="6" t="s">
        <v>270</v>
      </c>
      <c r="J54" s="6" t="s">
        <v>106</v>
      </c>
      <c r="K54" s="6" t="s">
        <v>107</v>
      </c>
      <c r="L54" s="6"/>
      <c r="M54" s="6"/>
    </row>
    <row r="55" customFormat="false" ht="45" hidden="false" customHeight="true" outlineLevel="0" collapsed="false">
      <c r="A55" s="6" t="n">
        <v>51</v>
      </c>
      <c r="B55" s="6" t="s">
        <v>265</v>
      </c>
      <c r="C55" s="6" t="s">
        <v>266</v>
      </c>
      <c r="D55" s="6" t="s">
        <v>267</v>
      </c>
      <c r="E55" s="6" t="s">
        <v>271</v>
      </c>
      <c r="F55" s="6" t="s">
        <v>272</v>
      </c>
      <c r="G55" s="7" t="n">
        <v>0</v>
      </c>
      <c r="H55" s="6" t="s">
        <v>273</v>
      </c>
      <c r="I55" s="6" t="s">
        <v>105</v>
      </c>
      <c r="J55" s="6" t="s">
        <v>106</v>
      </c>
      <c r="K55" s="6" t="s">
        <v>107</v>
      </c>
      <c r="L55" s="6" t="s">
        <v>274</v>
      </c>
      <c r="M55" s="6"/>
    </row>
    <row r="56" customFormat="false" ht="45" hidden="false" customHeight="true" outlineLevel="0" collapsed="false">
      <c r="A56" s="6" t="n">
        <v>52</v>
      </c>
      <c r="B56" s="6" t="s">
        <v>265</v>
      </c>
      <c r="C56" s="6" t="s">
        <v>266</v>
      </c>
      <c r="D56" s="6" t="s">
        <v>267</v>
      </c>
      <c r="E56" s="6" t="s">
        <v>275</v>
      </c>
      <c r="F56" s="6" t="s">
        <v>276</v>
      </c>
      <c r="G56" s="6" t="n">
        <v>1</v>
      </c>
      <c r="H56" s="6" t="s">
        <v>111</v>
      </c>
      <c r="I56" s="6" t="s">
        <v>277</v>
      </c>
      <c r="J56" s="6" t="s">
        <v>106</v>
      </c>
      <c r="K56" s="6" t="s">
        <v>107</v>
      </c>
      <c r="L56" s="6"/>
      <c r="M56" s="6"/>
    </row>
  </sheetData>
  <autoFilter ref="A4:M56"/>
  <dataValidations count="1">
    <dataValidation allowBlank="true" errorStyle="stop" operator="between" showDropDown="false" showErrorMessage="false" showInputMessage="false" sqref="J5:J56" type="list">
      <formula1>"Must,Optional"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278</v>
      </c>
    </row>
    <row r="2" customFormat="false" ht="15" hidden="false" customHeight="false" outlineLevel="0" collapsed="false">
      <c r="A2" s="2" t="s">
        <v>279</v>
      </c>
    </row>
    <row r="4" customFormat="false" ht="15" hidden="false" customHeight="false" outlineLevel="0" collapsed="false">
      <c r="A4" s="5" t="s">
        <v>280</v>
      </c>
      <c r="B4" s="5" t="s">
        <v>281</v>
      </c>
      <c r="C4" s="5" t="s">
        <v>282</v>
      </c>
    </row>
    <row r="5" customFormat="false" ht="15" hidden="false" customHeight="false" outlineLevel="0" collapsed="false">
      <c r="A5" s="6" t="s">
        <v>104</v>
      </c>
      <c r="B5" s="10" t="n">
        <f aca="false">SUMIFS(Requirements!$G$5:$G$56,Requirements!$H$5:$H$56,$A5,Requirements!$J$5:$J$56,"Must")</f>
        <v>3</v>
      </c>
      <c r="C5" s="10" t="n">
        <f aca="false">SUMIFS(Requirements!$G$5:$G$56,Requirements!$H$5:$H$56,$A5)</f>
        <v>3</v>
      </c>
    </row>
    <row r="6" customFormat="false" ht="15" hidden="false" customHeight="false" outlineLevel="0" collapsed="false">
      <c r="A6" s="6" t="s">
        <v>145</v>
      </c>
      <c r="B6" s="10" t="n">
        <f aca="false">SUMIFS(Requirements!$G$5:$G$56,Requirements!$H$5:$H$56,$A6,Requirements!$J$5:$J$56,"Must")</f>
        <v>1</v>
      </c>
      <c r="C6" s="10" t="n">
        <f aca="false">SUMIFS(Requirements!$G$5:$G$56,Requirements!$H$5:$H$56,$A6)</f>
        <v>2</v>
      </c>
    </row>
    <row r="7" customFormat="false" ht="15" hidden="false" customHeight="false" outlineLevel="0" collapsed="false">
      <c r="A7" s="6" t="s">
        <v>196</v>
      </c>
      <c r="B7" s="10" t="n">
        <f aca="false">SUMIFS(Requirements!$G$5:$G$56,Requirements!$H$5:$H$56,$A7,Requirements!$J$5:$J$56,"Must")</f>
        <v>1</v>
      </c>
      <c r="C7" s="10" t="n">
        <f aca="false">SUMIFS(Requirements!$G$5:$G$56,Requirements!$H$5:$H$56,$A7)</f>
        <v>1</v>
      </c>
    </row>
    <row r="8" customFormat="false" ht="15" hidden="false" customHeight="false" outlineLevel="0" collapsed="false">
      <c r="A8" s="6" t="s">
        <v>238</v>
      </c>
      <c r="B8" s="10" t="n">
        <f aca="false">SUMIFS(Requirements!$G$5:$G$56,Requirements!$H$5:$H$56,$A8,Requirements!$J$5:$J$56,"Must")</f>
        <v>2</v>
      </c>
      <c r="C8" s="10" t="n">
        <f aca="false">SUMIFS(Requirements!$G$5:$G$56,Requirements!$H$5:$H$56,$A8)</f>
        <v>2</v>
      </c>
    </row>
    <row r="9" customFormat="false" ht="15" hidden="false" customHeight="false" outlineLevel="0" collapsed="false">
      <c r="A9" s="6" t="s">
        <v>156</v>
      </c>
      <c r="B9" s="10" t="n">
        <f aca="false">SUMIFS(Requirements!$G$5:$G$56,Requirements!$H$5:$H$56,$A9,Requirements!$J$5:$J$56,"Must")</f>
        <v>1</v>
      </c>
      <c r="C9" s="10" t="n">
        <f aca="false">SUMIFS(Requirements!$G$5:$G$56,Requirements!$H$5:$H$56,$A9)</f>
        <v>1</v>
      </c>
    </row>
    <row r="10" customFormat="false" ht="15" hidden="false" customHeight="false" outlineLevel="0" collapsed="false">
      <c r="A10" s="6" t="s">
        <v>221</v>
      </c>
      <c r="B10" s="10" t="n">
        <f aca="false">SUMIFS(Requirements!$G$5:$G$56,Requirements!$H$5:$H$56,$A10,Requirements!$J$5:$J$56,"Must")</f>
        <v>0</v>
      </c>
      <c r="C10" s="10" t="n">
        <f aca="false">SUMIFS(Requirements!$G$5:$G$56,Requirements!$H$5:$H$56,$A10)</f>
        <v>1</v>
      </c>
    </row>
    <row r="11" customFormat="false" ht="15" hidden="false" customHeight="false" outlineLevel="0" collapsed="false">
      <c r="A11" s="6" t="s">
        <v>128</v>
      </c>
      <c r="B11" s="10" t="n">
        <f aca="false">SUMIFS(Requirements!$G$5:$G$56,Requirements!$H$5:$H$56,$A11,Requirements!$J$5:$J$56,"Must")</f>
        <v>0</v>
      </c>
      <c r="C11" s="10" t="n">
        <f aca="false">SUMIFS(Requirements!$G$5:$G$56,Requirements!$H$5:$H$56,$A11)</f>
        <v>1</v>
      </c>
    </row>
    <row r="12" customFormat="false" ht="15" hidden="false" customHeight="false" outlineLevel="0" collapsed="false">
      <c r="A12" s="6" t="s">
        <v>116</v>
      </c>
      <c r="B12" s="10" t="n">
        <f aca="false">SUMIFS(Requirements!$G$5:$G$56,Requirements!$H$5:$H$56,$A12,Requirements!$J$5:$J$56,"Must")</f>
        <v>27</v>
      </c>
      <c r="C12" s="10" t="n">
        <f aca="false">SUMIFS(Requirements!$G$5:$G$56,Requirements!$H$5:$H$56,$A12)</f>
        <v>27</v>
      </c>
    </row>
    <row r="13" customFormat="false" ht="15" hidden="false" customHeight="false" outlineLevel="0" collapsed="false">
      <c r="A13" s="6" t="s">
        <v>119</v>
      </c>
      <c r="B13" s="10" t="n">
        <f aca="false">SUMIFS(Requirements!$G$5:$G$56,Requirements!$H$5:$H$56,$A13,Requirements!$J$5:$J$56,"Must")</f>
        <v>171</v>
      </c>
      <c r="C13" s="10" t="n">
        <f aca="false">SUMIFS(Requirements!$G$5:$G$56,Requirements!$H$5:$H$56,$A13)</f>
        <v>171</v>
      </c>
    </row>
    <row r="14" customFormat="false" ht="15" hidden="false" customHeight="false" outlineLevel="0" collapsed="false">
      <c r="A14" s="6" t="s">
        <v>133</v>
      </c>
      <c r="B14" s="10" t="n">
        <f aca="false">SUMIFS(Requirements!$G$5:$G$56,Requirements!$H$5:$H$56,$A14,Requirements!$J$5:$J$56,"Must")</f>
        <v>25</v>
      </c>
      <c r="C14" s="10" t="n">
        <f aca="false">SUMIFS(Requirements!$G$5:$G$56,Requirements!$H$5:$H$56,$A14)</f>
        <v>26</v>
      </c>
    </row>
    <row r="15" customFormat="false" ht="15" hidden="false" customHeight="false" outlineLevel="0" collapsed="false">
      <c r="A15" s="6" t="s">
        <v>137</v>
      </c>
      <c r="B15" s="10" t="n">
        <f aca="false">SUMIFS(Requirements!$G$5:$G$56,Requirements!$H$5:$H$56,$A15,Requirements!$J$5:$J$56,"Must")</f>
        <v>4</v>
      </c>
      <c r="C15" s="10" t="n">
        <f aca="false">SUMIFS(Requirements!$G$5:$G$56,Requirements!$H$5:$H$56,$A15)</f>
        <v>4</v>
      </c>
    </row>
    <row r="16" customFormat="false" ht="15" hidden="false" customHeight="false" outlineLevel="0" collapsed="false">
      <c r="A16" s="6" t="s">
        <v>120</v>
      </c>
      <c r="B16" s="10" t="n">
        <f aca="false">SUMIFS(Requirements!$G$5:$G$56,Requirements!$H$5:$H$56,$A16,Requirements!$J$5:$J$56,"Must")</f>
        <v>8</v>
      </c>
      <c r="C16" s="10" t="n">
        <f aca="false">SUMIFS(Requirements!$G$5:$G$56,Requirements!$H$5:$H$56,$A16)</f>
        <v>8</v>
      </c>
    </row>
    <row r="17" customFormat="false" ht="15" hidden="false" customHeight="false" outlineLevel="0" collapsed="false">
      <c r="A17" s="6" t="s">
        <v>273</v>
      </c>
      <c r="B17" s="10" t="n">
        <f aca="false">SUMIFS(Requirements!$G$5:$G$56,Requirements!$H$5:$H$56,$A17,Requirements!$J$5:$J$56,"Must")</f>
        <v>0</v>
      </c>
      <c r="C17" s="10" t="n">
        <f aca="false">SUMIFS(Requirements!$G$5:$G$56,Requirements!$H$5:$H$56,$A17)</f>
        <v>0</v>
      </c>
    </row>
    <row r="18" customFormat="false" ht="15" hidden="false" customHeight="false" outlineLevel="0" collapsed="false">
      <c r="A18" s="11" t="s">
        <v>283</v>
      </c>
      <c r="B18" s="9" t="n">
        <f aca="false">SUM(B7:B11)</f>
        <v>4</v>
      </c>
      <c r="C18" s="9" t="n">
        <f aca="false">SUM(C7:C11)</f>
        <v>6</v>
      </c>
    </row>
    <row r="20" customFormat="false" ht="42" hidden="false" customHeight="true" outlineLevel="0" collapsed="false">
      <c r="A20" s="3" t="s">
        <v>284</v>
      </c>
      <c r="B20" s="3"/>
      <c r="C20" s="3"/>
    </row>
  </sheetData>
  <mergeCells count="1"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0"/>
    <col collapsed="false" customWidth="true" hidden="false" outlineLevel="0" max="3" min="3" style="0" width="28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285</v>
      </c>
    </row>
    <row r="3" customFormat="false" ht="15" hidden="false" customHeight="false" outlineLevel="0" collapsed="false">
      <c r="A3" s="5" t="s">
        <v>4</v>
      </c>
      <c r="B3" s="5" t="s">
        <v>286</v>
      </c>
      <c r="C3" s="5" t="s">
        <v>287</v>
      </c>
      <c r="D3" s="5" t="s">
        <v>288</v>
      </c>
    </row>
    <row r="4" customFormat="false" ht="30" hidden="false" customHeight="true" outlineLevel="0" collapsed="false">
      <c r="A4" s="6" t="n">
        <v>1</v>
      </c>
      <c r="B4" s="6" t="s">
        <v>289</v>
      </c>
      <c r="C4" s="6" t="s">
        <v>290</v>
      </c>
      <c r="D4" s="6"/>
    </row>
    <row r="5" customFormat="false" ht="30" hidden="false" customHeight="true" outlineLevel="0" collapsed="false">
      <c r="A5" s="6" t="n">
        <v>2</v>
      </c>
      <c r="B5" s="6" t="s">
        <v>291</v>
      </c>
      <c r="C5" s="6" t="s">
        <v>292</v>
      </c>
      <c r="D5" s="6"/>
    </row>
    <row r="6" customFormat="false" ht="30" hidden="false" customHeight="true" outlineLevel="0" collapsed="false">
      <c r="A6" s="6" t="n">
        <v>3</v>
      </c>
      <c r="B6" s="6" t="s">
        <v>293</v>
      </c>
      <c r="C6" s="6" t="s">
        <v>294</v>
      </c>
      <c r="D6" s="6"/>
    </row>
    <row r="7" customFormat="false" ht="30" hidden="false" customHeight="true" outlineLevel="0" collapsed="false">
      <c r="A7" s="6" t="n">
        <v>4</v>
      </c>
      <c r="B7" s="6" t="s">
        <v>295</v>
      </c>
      <c r="C7" s="6" t="s">
        <v>296</v>
      </c>
      <c r="D7" s="6"/>
    </row>
    <row r="8" customFormat="false" ht="30" hidden="false" customHeight="true" outlineLevel="0" collapsed="false">
      <c r="A8" s="6" t="n">
        <v>5</v>
      </c>
      <c r="B8" s="6" t="s">
        <v>297</v>
      </c>
      <c r="C8" s="6" t="s">
        <v>107</v>
      </c>
      <c r="D8" s="6"/>
    </row>
    <row r="9" customFormat="false" ht="30" hidden="false" customHeight="true" outlineLevel="0" collapsed="false">
      <c r="A9" s="6" t="n">
        <v>6</v>
      </c>
      <c r="B9" s="6" t="s">
        <v>298</v>
      </c>
      <c r="C9" s="6" t="s">
        <v>299</v>
      </c>
      <c r="D9" s="6"/>
    </row>
    <row r="10" customFormat="false" ht="30" hidden="false" customHeight="true" outlineLevel="0" collapsed="false">
      <c r="A10" s="6" t="n">
        <v>7</v>
      </c>
      <c r="B10" s="6" t="s">
        <v>300</v>
      </c>
      <c r="C10" s="6" t="s">
        <v>107</v>
      </c>
      <c r="D10" s="6"/>
    </row>
    <row r="11" customFormat="false" ht="30" hidden="false" customHeight="true" outlineLevel="0" collapsed="false">
      <c r="A11" s="6" t="n">
        <v>8</v>
      </c>
      <c r="B11" s="6" t="s">
        <v>301</v>
      </c>
      <c r="C11" s="6" t="s">
        <v>107</v>
      </c>
      <c r="D11" s="6"/>
    </row>
    <row r="12" customFormat="false" ht="30" hidden="false" customHeight="true" outlineLevel="0" collapsed="false">
      <c r="A12" s="6" t="n">
        <v>9</v>
      </c>
      <c r="B12" s="6" t="s">
        <v>302</v>
      </c>
      <c r="C12" s="6" t="s">
        <v>303</v>
      </c>
      <c r="D12" s="6"/>
    </row>
    <row r="13" customFormat="false" ht="30" hidden="false" customHeight="true" outlineLevel="0" collapsed="false">
      <c r="A13" s="6" t="n">
        <v>10</v>
      </c>
      <c r="B13" s="6" t="s">
        <v>304</v>
      </c>
      <c r="C13" s="6" t="s">
        <v>107</v>
      </c>
      <c r="D13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2026-10-15T09:57:49Z</dcterms:created>
  <dc:creator>openpyxl</dc:creator>
  <dc:description/>
  <dc:language>en-US</dc:language>
  <cp:lastModifiedBy/>
  <dcterms:modified xsi:type="dcterms:W3CDTF">2026-10-15T09:57:49Z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